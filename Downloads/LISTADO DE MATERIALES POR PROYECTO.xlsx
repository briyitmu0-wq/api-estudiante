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triplea-my.sharepoint.com/personal/brendy_munoz_aaa_com_co/Documents/Brendy/PROCESOS/MANUEL - bomba 6 y 7 Recreo/"/>
    </mc:Choice>
  </mc:AlternateContent>
  <xr:revisionPtr revIDLastSave="0" documentId="8_{B5832F11-F877-431B-97AE-BCB58BBFDE0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TUBERÍAS Y ACCESORIOS RECREO" sheetId="2" r:id="rId1"/>
    <sheet name="TUBERÍAS Y ACCESORIOS C.GALAPA" sheetId="1" r:id="rId2"/>
    <sheet name="TUBERÍAS Y ACCESORIOS SALGAR" sheetId="3" r:id="rId3"/>
    <sheet name="COSTEROS" sheetId="4" r:id="rId4"/>
  </sheets>
  <definedNames>
    <definedName name="_xlnm._FilterDatabase" localSheetId="3" hidden="1">COSTEROS!$A$2:$F$23</definedName>
    <definedName name="_xlnm._FilterDatabase" localSheetId="1" hidden="1">'TUBERÍAS Y ACCESORIOS C.GALAPA'!$A$3:$G$21</definedName>
    <definedName name="_xlnm._FilterDatabase" localSheetId="0" hidden="1">'TUBERÍAS Y ACCESORIOS RECREO'!$A$3:$F$32</definedName>
    <definedName name="_xlnm._FilterDatabase" localSheetId="2" hidden="1">'TUBERÍAS Y ACCESORIOS SALGAR'!$A$3:$F$35</definedName>
    <definedName name="_xlnm.Print_Area" localSheetId="1">'TUBERÍAS Y ACCESORIOS C.GALAPA'!$A$1:$G$26</definedName>
    <definedName name="_xlnm.Print_Area" localSheetId="0">'TUBERÍAS Y ACCESORIOS RECREO'!$A$1:$F$34</definedName>
    <definedName name="_xlnm.Print_Area" localSheetId="2">'TUBERÍAS Y ACCESORIOS SALGAR'!$A$1:$F$39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38" i="3" s="1"/>
  <c r="F39" i="3" s="1"/>
  <c r="D28" i="2" l="1"/>
  <c r="D21" i="2"/>
  <c r="D17" i="2"/>
  <c r="D10" i="2"/>
  <c r="D16" i="2"/>
  <c r="F32" i="2"/>
  <c r="F33" i="2" s="1"/>
  <c r="D25" i="2"/>
  <c r="D23" i="2"/>
  <c r="D24" i="2"/>
  <c r="F34" i="2" l="1"/>
  <c r="G24" i="1" l="1"/>
  <c r="G25" i="1" l="1"/>
  <c r="G26" i="1" s="1"/>
</calcChain>
</file>

<file path=xl/sharedStrings.xml><?xml version="1.0" encoding="utf-8"?>
<sst xmlns="http://schemas.openxmlformats.org/spreadsheetml/2006/main" count="229" uniqueCount="108">
  <si>
    <t>Ítem</t>
  </si>
  <si>
    <t>Descripción</t>
  </si>
  <si>
    <t>Unidad medida</t>
  </si>
  <si>
    <t>Cant.</t>
  </si>
  <si>
    <t>Vlr. Unitario</t>
  </si>
  <si>
    <t>Vlr. Total</t>
  </si>
  <si>
    <t xml:space="preserve">VALVULA MARIPOSA 20" ANSI 150 DISCO INOXIDABLE  </t>
  </si>
  <si>
    <t>UN</t>
  </si>
  <si>
    <t xml:space="preserve">VALVULA MARIPOSA 24" ANSI 150 DISCO INOXIDABLE  </t>
  </si>
  <si>
    <t>TUBO 30" ACERO  SCH STD X 6 MTS</t>
  </si>
  <si>
    <t>CODO 30" X 90° ACERO SCH P/SOLDAR</t>
  </si>
  <si>
    <t>BRIDA 30" ACERO SERIE A ANSI 150 SLIP-ON</t>
  </si>
  <si>
    <t>REDUCCION ACERO 30 X 24 SCH P/SOLDAR</t>
  </si>
  <si>
    <t>BRIDA 24" ACERO P/SOLDAR ANSI 150</t>
  </si>
  <si>
    <t>CODO 24" X 90° ACERO SCH STD P/SOLDAR</t>
  </si>
  <si>
    <t>CODO 18" X 90° ACERO SCH STD P/SOLDAR</t>
  </si>
  <si>
    <t>CODO 20" X 90° ACERO SCH STD P/SOLDAR</t>
  </si>
  <si>
    <t>REDUCCION ACERO 24 X 20 SCH STD P/SOLDAR</t>
  </si>
  <si>
    <t>REDUCCION ACERO 20 X 18 SCH STD P/SOLDAR</t>
  </si>
  <si>
    <t>BRIDA 20" ACERO P/SOLDAR ANSI 150</t>
  </si>
  <si>
    <t>BRIDA 18" ACERO P/SOLDAR ANSI 150</t>
  </si>
  <si>
    <t>TUBO 24" ACERO  SCH STD X 6 MTS</t>
  </si>
  <si>
    <t>CODO 14" X 90° ACERO SCH STD P/SOLDAR</t>
  </si>
  <si>
    <t xml:space="preserve"> </t>
  </si>
  <si>
    <t>REDUCCION ACERO 20 X 14 SCH STD P/SOLDAR</t>
  </si>
  <si>
    <t>BRIDA 14" ACERO P/SOLDAR ANSI 150</t>
  </si>
  <si>
    <t xml:space="preserve">TORNILLO 1 1/4 X 7 </t>
  </si>
  <si>
    <t>TORNILLO 1 1/4 X 5</t>
  </si>
  <si>
    <t>TORNILLO 1 1/8 X 5</t>
  </si>
  <si>
    <t>TORNILLO 1" X  4"</t>
  </si>
  <si>
    <t>CODO 16" X 90° ACERO SCH STD P/SOLDAR</t>
  </si>
  <si>
    <t>BRIDA 16" ACERO P/SOLDAR ANSI 150</t>
  </si>
  <si>
    <t>TORNILLO 1 1/8 X 4</t>
  </si>
  <si>
    <t>REDUCCION ACERO 24 X 18 SCH STD P/SOLDAR</t>
  </si>
  <si>
    <t>SUBTOTAL</t>
  </si>
  <si>
    <t>IVA</t>
  </si>
  <si>
    <t>TOTAL</t>
  </si>
  <si>
    <t>CODIGO SAP</t>
  </si>
  <si>
    <t>VALVULA MARIPOSA DE 12" ANSI 300 -NOTA: PARA DESCARGA DE BOMBAS ANSI 300, DISEÑO TIPO LUG CON SELLOS EN ACERO INOXIDABLE 304 (INSERTADO O INTEGRAL), CUERPO EN ACERO INOXIDABLE ASTM A 351 CF8M; DISCO Y EJE EN ACERO INOXIDABLE SS316. NORMA DE SELLADO EN 12266-1, DIN 3230, BS6755 Y/O ISO 5208. CON OPERADOR MECANICO DE ENGRANAJES.</t>
  </si>
  <si>
    <t>TUBO 12" ACERO  SCH STD X 6MTS</t>
  </si>
  <si>
    <t xml:space="preserve">VALVULA TIPO CHEQUE 12" ANSI 150 DISCO INOXIDABLE  </t>
  </si>
  <si>
    <t>REDUCCION ACERO 10 X 12 SCH STD P/SOLDAR</t>
  </si>
  <si>
    <t>BRIDA 12" ACERO P/SOLDAR ANSI 150</t>
  </si>
  <si>
    <t>CODO 12" X 45° ACERO SCH STD P/SOLDAR</t>
  </si>
  <si>
    <t>TUBO 16" ACERO  SCH STD X 6MTS</t>
  </si>
  <si>
    <t>REDUCCION ACERO 16 X 12 SCH STD P/SOLDAR</t>
  </si>
  <si>
    <t>REDUCCION ACERO 12 X 8 SCH STD P/SOLDAR</t>
  </si>
  <si>
    <t>REDUCCION ACERO 16 X 10 SCH STD P/SOLDAR</t>
  </si>
  <si>
    <t>CODO 12" X 90° ACERO SCH P/SOLDAR</t>
  </si>
  <si>
    <t xml:space="preserve">VALVULA MARIPOSA 12" ANSI 150 DISCO INOXIDABLE  </t>
  </si>
  <si>
    <t xml:space="preserve">VALVULA MARIPOSA 16" ANSI 150 DISCO INOXIDABLE  </t>
  </si>
  <si>
    <t>CODO 16" X 45° ACERO SCH P/SOLDAR</t>
  </si>
  <si>
    <t>BRIDA 12" ACERO P/SOLDAR ANSI 300</t>
  </si>
  <si>
    <t>BRIDA 10" ACERO P/SOLDAR ANSI 300</t>
  </si>
  <si>
    <t>BRIDA 16" ACERO P/SOLDAR ANSI 300</t>
  </si>
  <si>
    <t>CODO 12" ACERO AL CARBÓN X 90° SCH STD P/SOLDAR</t>
  </si>
  <si>
    <t>TUBERÍA ACERO AL CARBÓN 12" SCH STD X 6 MTS</t>
  </si>
  <si>
    <t>CODO 20" ACERO AL CARBÓN X 90° SCH STD P/SOLDAR</t>
  </si>
  <si>
    <t>CODO 10" ACERO AL CARBÓN X 90° SCH STD P/SOLDAR</t>
  </si>
  <si>
    <t>CODO 8" ACERO AL CARBÓN X 90° SCH STD P/SOLDAR</t>
  </si>
  <si>
    <t>TUBERÍA ACERO AL CARBÓN 20" SCH STD X 6 MTS</t>
  </si>
  <si>
    <t>REDUCCIÓN CONCÉNTRICA 20" X 12" SCH STD P/SOLDAR</t>
  </si>
  <si>
    <t>REDUCCIÓN EXCÉNTRICA 20" X 10" SCH STD P/SOLDAR</t>
  </si>
  <si>
    <t>BRIDA ACERO 12" SLIP ON ANSI 150</t>
  </si>
  <si>
    <t>BRIDA ACERO 20" SLIP ON ANSI 150</t>
  </si>
  <si>
    <t>BRIDA ACERO 10" SLIP ON ANSI 150</t>
  </si>
  <si>
    <t>BRIDA ACERO 8" SLIP ON ANSI 150</t>
  </si>
  <si>
    <t>VÁLVULA CHEQUE 12" ANSI 150 WAFER DUO CHECK O SWING CUERPO HD DISCOS INOX.</t>
  </si>
  <si>
    <t>VÁLVULA CHEQUE 20" ANSI 150 WAFER DUO CHECK O SWING CUERPO HD DISCOS INOX.</t>
  </si>
  <si>
    <t>VÁLVULA MARIPOSA 10" ANSI 150 DOBLE BRIDA DISCO INOX. SELLO METAL CUERPO ACERO</t>
  </si>
  <si>
    <t>TORNILLO 1" X 3-1/2" COMPLETOS</t>
  </si>
  <si>
    <t>TORNILLO 1-1/4" X 4-1/2" COMPLETOS</t>
  </si>
  <si>
    <t>VARILLA GALVANIZADA 1" X 3 MTS</t>
  </si>
  <si>
    <t>TUERCA INOXIDABLE 1"</t>
  </si>
  <si>
    <t>BOMBA HIDROMAC 8X10X22 EJE LIBRE CON BASE METÁLICA</t>
  </si>
  <si>
    <t>MOTOR CUMMINS GTA 853</t>
  </si>
  <si>
    <t>ACOPLAMIENTO</t>
  </si>
  <si>
    <t>CONTROLES DE MOTOR INCLUIDOS POR TRIPLE A</t>
  </si>
  <si>
    <t>SKAGROUT 200/212 X 25 KG</t>
  </si>
  <si>
    <t>LÁMINA INOXIDABLE CALIBRE 16 X 5 FT X 10 FT</t>
  </si>
  <si>
    <t>MALLA EXPANDIDA INOXIDABLE 1 MM X 10 MM X 5 MM X 1 MT X 10 MTS</t>
  </si>
  <si>
    <t>LÁMINA BLACK THEATER SAINT GOBAIN 25 MM X 1 MT X 2 MTS</t>
  </si>
  <si>
    <t>TROLEY MANUAL 2 TON</t>
  </si>
  <si>
    <t>PERFIL IPE 200</t>
  </si>
  <si>
    <t>PERFIL HEA 210</t>
  </si>
  <si>
    <t>PINTURA EPÓXICA PRIMER XLT</t>
  </si>
  <si>
    <t>PINTURA EPÓXICA ACABADO XLT</t>
  </si>
  <si>
    <t>VALVULA MARIPOSA DE 8" ANSI 300 -NOTA: PARA DESCARGA DE BOMBAS ANSI 300, DISEÑO TIPO LUG CON SELLOS EN ACERO INOXIDABLE 304 (INSERTADO O INTEGRAL), CUERPO EN ACERO INOXIDABLE ASTM A 351 CF8M; DISCO Y EJE EN ACERO INOXIDABLE SS316. NORMA DE SELLADO EN 12266-1, DIN 3230, BS6755 Y/O ISO 5208. CON OPERADOR MECANICO DE ENGRANAJES.</t>
  </si>
  <si>
    <t>VALVULA MARIPOSA DE 8" ANSI 150 -NOTA: PARA DESCARGA DE BOMBAS ANSI 150, DISEÑO TIPO LUG CON SELLOS EN ACERO INOXIDABLE 304 (INSERTADO O INTEGRAL), CUERPO EN ACERO INOXIDABLE ASTM A 351 CF8M; DISCO Y EJE EN ACERO INOXIDABLE SS316. NORMA DE SELLADO EN 12266-1, DIN 3230, BS6755 Y/O ISO 5208. CON OPERADOR MECANICO DE ENGRANAJES.</t>
  </si>
  <si>
    <t>TUBO 4" ACERO INOXIDABLE SCH STD X 6 MTS</t>
  </si>
  <si>
    <t>BRIDA 8" ACERO AL CARBÓN SLIP ON ANSI 300</t>
  </si>
  <si>
    <t>BRIDA 8" ACERO AL CARBÓN SLIP ON ANSI 150</t>
  </si>
  <si>
    <t>REDUCCION CONCENTRICA ACERO AL CARBON 8 X 6 SCH 40 P/SOLDAR</t>
  </si>
  <si>
    <t>BRIDA 4" ACERO INOXIDABLE SLIP ON ANSI 150</t>
  </si>
  <si>
    <t>CODO 6" X 45° ACERO AL CARBON SCH 40 P/SOLDAR</t>
  </si>
  <si>
    <t xml:space="preserve">TUBO 6" ACERO AL CARBON SCH 40 X 6 MTS </t>
  </si>
  <si>
    <t>CODO 6" X 90° ACERO AL CARBÓN SCH 40 P/SOLDAR</t>
  </si>
  <si>
    <t>TEE 6" ACERO AL CARBON SCH 40 P/SOLDAR</t>
  </si>
  <si>
    <t>VALVULA MARIPOSA DE 12" ANSI 150 -NOTA: PARA DESCARGA DE BOMBAS ANSI 150, DISEÑO TIPO LUG CON SELLOS EN ACERO INOXIDABLE 304 (INSERTADO O INTEGRAL), CUERPO EN ACERO INOXIDABLE ASTM A 351 CF8M; DISCO Y EJE EN ACERO INOXIDABLE SS316. NORMA DE SELLADO EN 12266-1, DIN 3230, BS6755 Y/O ISO 5208. CON OPERADOR MECANICO DE ENGRANAJES.</t>
  </si>
  <si>
    <t>VALVULA MARIPOSA DE 10" ANSI 150 -NOTA: PARA DESCARGA DE BOMBAS ANSI 150, DISEÑO TIPO LUG CON SELLOS EN ACERO INOXIDABLE 304 (INSERTADO O INTEGRAL), CUERPO EN ACERO INOXIDABLE ASTM A 351 CF8M; DISCO Y EJE EN ACERO INOXIDABLE SS316. NORMA DE SELLADO EN 12266-1, DIN 3230, BS6755 Y/O ISO 5208. CON OPERADOR MECANICO DE ENGRANAJES.</t>
  </si>
  <si>
    <t>CODO 4" X 90° ACERO INOXIDABLE SCH STD P/SOLDAR</t>
  </si>
  <si>
    <t>BRIDA 6" ACERO AL CARBÓN SLIP ON ANSI 150</t>
  </si>
  <si>
    <t>CODO 4" X 90° ACERO INOXIDABLE SCH 40 P/SOLDAR</t>
  </si>
  <si>
    <t>BRIDA 12" ACERO AL CARBÓN SLIP ON ANSI 150</t>
  </si>
  <si>
    <t>BRIDA 10" ACERO AL CARBÓN SLIP ON ANSI 150</t>
  </si>
  <si>
    <t xml:space="preserve">TUBO 1-1/2" ACERO AL CARBON SCH 40 X 6 MTS </t>
  </si>
  <si>
    <t>CODO 1-1/2" X 90° ACERO AL CARBÓN SCH 40 P/SOLDAR</t>
  </si>
  <si>
    <t>TEE 1-1/2" ACERO AL CARBON SCH 40 P/SOLDAR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</si>
</sst>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rgb="FFFFFFFF"/>
      <name val="Arial Narrow"/>
      <family val="2"/>
    </font>
    <font>
      <sz val="12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 wrapText="1"/>
    </xf>
    <xf numFmtId="4" fontId="0" fillId="0" borderId="1" xfId="0" applyNumberFormat="1" applyBorder="1"/>
    <xf numFmtId="4" fontId="0" fillId="0" borderId="0" xfId="0" applyNumberFormat="1"/>
    <xf numFmtId="4" fontId="0" fillId="0" borderId="2" xfId="0" applyNumberFormat="1" applyBorder="1"/>
    <xf numFmtId="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4" fontId="5" fillId="0" borderId="1" xfId="0" applyNumberFormat="1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5" borderId="1" xfId="0" applyNumberForma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horizontal="justify" vertical="center"/>
    </xf>
  </cellXfs>
  <cellStyles count="2">
    <cellStyle name="Millares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F34"/>
  <sheetViews>
    <sheetView view="pageBreakPreview" zoomScale="115" zoomScaleNormal="115" zoomScaleSheetLayoutView="115" workbookViewId="0">
      <selection activeCell="B10" sqref="B10"/>
    </sheetView>
  </sheetViews>
  <sheetFormatPr defaultColWidth="11.42578125" defaultRowHeight="15"/>
  <cols>
    <col min="2" max="2" width="73.140625" customWidth="1"/>
    <col min="3" max="3" width="11" style="4"/>
    <col min="4" max="4" width="11" style="6"/>
    <col min="5" max="5" width="11.28515625" style="9" bestFit="1" customWidth="1"/>
    <col min="6" max="6" width="12.42578125" style="9" bestFit="1" customWidth="1"/>
  </cols>
  <sheetData>
    <row r="3" spans="1:6" ht="31.5">
      <c r="A3" s="1" t="s">
        <v>0</v>
      </c>
      <c r="B3" s="1" t="s">
        <v>1</v>
      </c>
      <c r="C3" s="1" t="s">
        <v>2</v>
      </c>
      <c r="D3" s="1" t="s">
        <v>3</v>
      </c>
      <c r="E3" s="7" t="s">
        <v>4</v>
      </c>
      <c r="F3" s="7" t="s">
        <v>5</v>
      </c>
    </row>
    <row r="4" spans="1:6" ht="16.5">
      <c r="A4" s="2">
        <v>1</v>
      </c>
      <c r="B4" s="30" t="s">
        <v>6</v>
      </c>
      <c r="C4" s="3" t="s">
        <v>7</v>
      </c>
      <c r="D4" s="5">
        <v>1</v>
      </c>
      <c r="E4" s="8"/>
      <c r="F4" s="8"/>
    </row>
    <row r="5" spans="1:6" s="12" customFormat="1" ht="16.5">
      <c r="A5" s="2">
        <v>2</v>
      </c>
      <c r="B5" s="8" t="s">
        <v>8</v>
      </c>
      <c r="C5" s="3" t="s">
        <v>7</v>
      </c>
      <c r="D5" s="5">
        <v>2</v>
      </c>
      <c r="E5" s="11"/>
      <c r="F5" s="11"/>
    </row>
    <row r="6" spans="1:6" ht="17.100000000000001" customHeight="1">
      <c r="A6" s="2">
        <v>3</v>
      </c>
      <c r="B6" s="8" t="s">
        <v>9</v>
      </c>
      <c r="C6" s="3" t="s">
        <v>7</v>
      </c>
      <c r="D6" s="5">
        <v>1</v>
      </c>
      <c r="E6" s="8"/>
      <c r="F6" s="8"/>
    </row>
    <row r="7" spans="1:6" ht="16.5">
      <c r="A7" s="2">
        <v>4</v>
      </c>
      <c r="B7" s="8" t="s">
        <v>10</v>
      </c>
      <c r="C7" s="3" t="s">
        <v>7</v>
      </c>
      <c r="D7" s="5">
        <v>1</v>
      </c>
      <c r="E7" s="8"/>
      <c r="F7" s="8"/>
    </row>
    <row r="8" spans="1:6" ht="16.5">
      <c r="A8" s="2">
        <v>5</v>
      </c>
      <c r="B8" s="8" t="s">
        <v>11</v>
      </c>
      <c r="C8" s="3" t="s">
        <v>7</v>
      </c>
      <c r="D8" s="5">
        <v>1</v>
      </c>
      <c r="E8" s="8"/>
      <c r="F8" s="8"/>
    </row>
    <row r="9" spans="1:6" s="12" customFormat="1" ht="16.5">
      <c r="A9" s="2">
        <v>6</v>
      </c>
      <c r="B9" s="8" t="s">
        <v>12</v>
      </c>
      <c r="C9" s="3" t="s">
        <v>7</v>
      </c>
      <c r="D9" s="5">
        <v>2</v>
      </c>
      <c r="E9" s="11"/>
      <c r="F9" s="11"/>
    </row>
    <row r="10" spans="1:6" ht="16.5">
      <c r="A10" s="2">
        <v>7</v>
      </c>
      <c r="B10" s="8" t="s">
        <v>13</v>
      </c>
      <c r="C10" s="3" t="s">
        <v>7</v>
      </c>
      <c r="D10" s="5">
        <f>4+5</f>
        <v>9</v>
      </c>
      <c r="E10" s="8"/>
      <c r="F10" s="8"/>
    </row>
    <row r="11" spans="1:6" ht="16.5">
      <c r="A11" s="2">
        <v>8</v>
      </c>
      <c r="B11" s="8" t="s">
        <v>14</v>
      </c>
      <c r="C11" s="3" t="s">
        <v>7</v>
      </c>
      <c r="D11" s="5">
        <v>2</v>
      </c>
      <c r="E11" s="8"/>
      <c r="F11" s="8"/>
    </row>
    <row r="12" spans="1:6" ht="15.75">
      <c r="A12" s="2">
        <v>9</v>
      </c>
      <c r="B12" s="8" t="s">
        <v>15</v>
      </c>
      <c r="C12" s="3" t="s">
        <v>7</v>
      </c>
      <c r="D12" s="5">
        <v>2</v>
      </c>
      <c r="E12" s="8"/>
      <c r="F12" s="8"/>
    </row>
    <row r="13" spans="1:6" ht="15.75">
      <c r="A13" s="2">
        <v>10</v>
      </c>
      <c r="B13" s="8" t="s">
        <v>16</v>
      </c>
      <c r="C13" s="3" t="s">
        <v>7</v>
      </c>
      <c r="D13" s="5">
        <v>1</v>
      </c>
      <c r="E13" s="8"/>
      <c r="F13" s="8"/>
    </row>
    <row r="14" spans="1:6" ht="16.5">
      <c r="A14" s="2">
        <v>11</v>
      </c>
      <c r="B14" s="8" t="s">
        <v>17</v>
      </c>
      <c r="C14" s="3" t="s">
        <v>7</v>
      </c>
      <c r="D14" s="5">
        <v>2</v>
      </c>
      <c r="E14" s="8"/>
      <c r="F14" s="8"/>
    </row>
    <row r="15" spans="1:6" ht="16.5">
      <c r="A15" s="2">
        <v>12</v>
      </c>
      <c r="B15" s="8" t="s">
        <v>18</v>
      </c>
      <c r="C15" s="3" t="s">
        <v>7</v>
      </c>
      <c r="D15" s="5">
        <v>1</v>
      </c>
      <c r="E15" s="8"/>
      <c r="F15" s="8"/>
    </row>
    <row r="16" spans="1:6" ht="16.5">
      <c r="A16" s="2">
        <v>13</v>
      </c>
      <c r="B16" s="8" t="s">
        <v>19</v>
      </c>
      <c r="C16" s="3" t="s">
        <v>7</v>
      </c>
      <c r="D16" s="5">
        <f>2+3</f>
        <v>5</v>
      </c>
      <c r="E16" s="8"/>
      <c r="F16" s="8"/>
    </row>
    <row r="17" spans="1:6" ht="16.5">
      <c r="A17" s="2">
        <v>14</v>
      </c>
      <c r="B17" s="8" t="s">
        <v>20</v>
      </c>
      <c r="C17" s="3" t="s">
        <v>7</v>
      </c>
      <c r="D17" s="5">
        <f>5+3</f>
        <v>8</v>
      </c>
      <c r="E17" s="8"/>
      <c r="F17" s="8"/>
    </row>
    <row r="18" spans="1:6" ht="16.5">
      <c r="A18" s="2">
        <v>15</v>
      </c>
      <c r="B18" s="8" t="s">
        <v>21</v>
      </c>
      <c r="C18" s="3" t="s">
        <v>7</v>
      </c>
      <c r="D18" s="5">
        <v>2</v>
      </c>
      <c r="E18" s="8"/>
      <c r="F18" s="8"/>
    </row>
    <row r="19" spans="1:6" ht="16.5">
      <c r="A19" s="2">
        <v>16</v>
      </c>
      <c r="B19" s="8" t="s">
        <v>22</v>
      </c>
      <c r="C19" s="3" t="s">
        <v>7</v>
      </c>
      <c r="D19" s="5">
        <v>3</v>
      </c>
      <c r="E19" s="8"/>
      <c r="F19" s="8" t="s">
        <v>23</v>
      </c>
    </row>
    <row r="20" spans="1:6" ht="16.5">
      <c r="A20" s="2">
        <v>17</v>
      </c>
      <c r="B20" s="8" t="s">
        <v>24</v>
      </c>
      <c r="C20" s="3" t="s">
        <v>7</v>
      </c>
      <c r="D20" s="5">
        <v>1</v>
      </c>
      <c r="E20" s="8"/>
      <c r="F20" s="8"/>
    </row>
    <row r="21" spans="1:6" ht="16.5">
      <c r="A21" s="2">
        <v>18</v>
      </c>
      <c r="B21" s="8" t="s">
        <v>25</v>
      </c>
      <c r="C21" s="3" t="s">
        <v>7</v>
      </c>
      <c r="D21" s="5">
        <f>2+3</f>
        <v>5</v>
      </c>
      <c r="E21" s="8"/>
      <c r="F21" s="8"/>
    </row>
    <row r="22" spans="1:6" ht="15.75">
      <c r="A22" s="2">
        <v>19</v>
      </c>
      <c r="B22" s="8" t="s">
        <v>26</v>
      </c>
      <c r="C22" s="3" t="s">
        <v>7</v>
      </c>
      <c r="D22" s="5">
        <v>56</v>
      </c>
      <c r="E22" s="8"/>
      <c r="F22" s="8"/>
    </row>
    <row r="23" spans="1:6" ht="16.5">
      <c r="A23" s="2">
        <v>20</v>
      </c>
      <c r="B23" s="8" t="s">
        <v>27</v>
      </c>
      <c r="C23" s="3" t="s">
        <v>7</v>
      </c>
      <c r="D23" s="5">
        <f>240+(8*20)</f>
        <v>400</v>
      </c>
      <c r="E23" s="8"/>
      <c r="F23" s="8"/>
    </row>
    <row r="24" spans="1:6" ht="15.75">
      <c r="A24" s="2">
        <v>21</v>
      </c>
      <c r="B24" s="8" t="s">
        <v>28</v>
      </c>
      <c r="C24" s="3" t="s">
        <v>7</v>
      </c>
      <c r="D24" s="5">
        <f>120+40+20+96</f>
        <v>276</v>
      </c>
      <c r="E24" s="8"/>
      <c r="F24" s="8"/>
    </row>
    <row r="25" spans="1:6" ht="15.75">
      <c r="A25" s="2">
        <v>22</v>
      </c>
      <c r="B25" s="8" t="s">
        <v>29</v>
      </c>
      <c r="C25" s="3" t="s">
        <v>7</v>
      </c>
      <c r="D25" s="6">
        <f>30+24</f>
        <v>54</v>
      </c>
      <c r="E25" s="8"/>
      <c r="F25" s="8"/>
    </row>
    <row r="26" spans="1:6" ht="16.5">
      <c r="A26" s="2">
        <v>23</v>
      </c>
      <c r="B26" s="8" t="s">
        <v>30</v>
      </c>
      <c r="C26" s="3" t="s">
        <v>7</v>
      </c>
      <c r="D26" s="5">
        <v>1</v>
      </c>
      <c r="E26" s="8"/>
      <c r="F26" s="8"/>
    </row>
    <row r="27" spans="1:6" ht="16.5">
      <c r="A27" s="2">
        <v>24</v>
      </c>
      <c r="B27" s="8" t="s">
        <v>31</v>
      </c>
      <c r="C27" s="3" t="s">
        <v>7</v>
      </c>
      <c r="D27" s="5">
        <v>3</v>
      </c>
      <c r="E27" s="8"/>
      <c r="F27" s="8"/>
    </row>
    <row r="28" spans="1:6" ht="16.5">
      <c r="A28" s="2">
        <v>25</v>
      </c>
      <c r="B28" s="8" t="s">
        <v>32</v>
      </c>
      <c r="C28" s="3" t="s">
        <v>7</v>
      </c>
      <c r="D28" s="5">
        <f>32+32</f>
        <v>64</v>
      </c>
      <c r="E28" s="8"/>
      <c r="F28" s="8"/>
    </row>
    <row r="29" spans="1:6" ht="16.5">
      <c r="A29" s="2">
        <v>26</v>
      </c>
      <c r="B29" s="8" t="s">
        <v>33</v>
      </c>
      <c r="C29" s="3" t="s">
        <v>7</v>
      </c>
      <c r="D29" s="5">
        <v>1</v>
      </c>
      <c r="E29" s="8"/>
      <c r="F29" s="8"/>
    </row>
    <row r="32" spans="1:6">
      <c r="E32" s="9" t="s">
        <v>34</v>
      </c>
      <c r="F32" s="10">
        <f>SUM(F4:F29)</f>
        <v>0</v>
      </c>
    </row>
    <row r="33" spans="5:6">
      <c r="E33" s="9" t="s">
        <v>35</v>
      </c>
      <c r="F33" s="10">
        <f>+F32*0.19</f>
        <v>0</v>
      </c>
    </row>
    <row r="34" spans="5:6">
      <c r="E34" s="9" t="s">
        <v>36</v>
      </c>
      <c r="F34" s="9">
        <f>F33+F32</f>
        <v>0</v>
      </c>
    </row>
  </sheetData>
  <autoFilter ref="A3:F32" xr:uid="{00000000-0009-0000-0000-000000000000}">
    <sortState xmlns:xlrd2="http://schemas.microsoft.com/office/spreadsheetml/2017/richdata2" ref="A4:F32">
      <sortCondition ref="A3:A32"/>
    </sortState>
  </autoFilter>
  <pageMargins left="0.7" right="0.7" top="0.75" bottom="0.75" header="0.3" footer="0.3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G26"/>
  <sheetViews>
    <sheetView view="pageBreakPreview" zoomScale="115" zoomScaleNormal="115" zoomScaleSheetLayoutView="115" workbookViewId="0">
      <selection activeCell="C4" sqref="C4"/>
    </sheetView>
  </sheetViews>
  <sheetFormatPr defaultColWidth="11.42578125" defaultRowHeight="15"/>
  <cols>
    <col min="2" max="2" width="0" hidden="1" customWidth="1"/>
    <col min="3" max="3" width="79.7109375" customWidth="1"/>
    <col min="4" max="4" width="10.85546875" style="4"/>
    <col min="5" max="5" width="10.85546875" style="6"/>
    <col min="6" max="6" width="11.28515625" style="9" bestFit="1" customWidth="1"/>
    <col min="7" max="7" width="12.42578125" style="9" bestFit="1" customWidth="1"/>
  </cols>
  <sheetData>
    <row r="3" spans="1:7" ht="31.5">
      <c r="A3" s="1" t="s">
        <v>0</v>
      </c>
      <c r="B3" s="1" t="s">
        <v>37</v>
      </c>
      <c r="C3" s="1" t="s">
        <v>1</v>
      </c>
      <c r="D3" s="1" t="s">
        <v>2</v>
      </c>
      <c r="E3" s="1" t="s">
        <v>3</v>
      </c>
      <c r="F3" s="7" t="s">
        <v>4</v>
      </c>
      <c r="G3" s="7" t="s">
        <v>5</v>
      </c>
    </row>
    <row r="4" spans="1:7" ht="79.5" customHeight="1">
      <c r="A4" s="2">
        <v>1</v>
      </c>
      <c r="B4" s="29"/>
      <c r="C4" s="31" t="s">
        <v>38</v>
      </c>
      <c r="D4" s="3" t="s">
        <v>7</v>
      </c>
      <c r="E4" s="5">
        <v>3</v>
      </c>
      <c r="F4" s="8"/>
      <c r="G4" s="8"/>
    </row>
    <row r="5" spans="1:7" s="12" customFormat="1" ht="15.75">
      <c r="A5" s="2">
        <v>2</v>
      </c>
      <c r="B5" s="2"/>
      <c r="C5" s="8" t="s">
        <v>39</v>
      </c>
      <c r="D5" s="3" t="s">
        <v>7</v>
      </c>
      <c r="E5" s="5">
        <v>2</v>
      </c>
      <c r="F5" s="11"/>
      <c r="G5" s="11"/>
    </row>
    <row r="6" spans="1:7" ht="17.100000000000001" customHeight="1">
      <c r="A6" s="2">
        <v>3</v>
      </c>
      <c r="B6" s="2"/>
      <c r="C6" s="8" t="s">
        <v>40</v>
      </c>
      <c r="D6" s="3" t="s">
        <v>7</v>
      </c>
      <c r="E6" s="5">
        <v>2</v>
      </c>
      <c r="F6" s="8"/>
      <c r="G6" s="8"/>
    </row>
    <row r="7" spans="1:7" ht="15.75">
      <c r="A7" s="2">
        <v>4</v>
      </c>
      <c r="B7" s="2"/>
      <c r="C7" s="8" t="s">
        <v>41</v>
      </c>
      <c r="D7" s="3" t="s">
        <v>7</v>
      </c>
      <c r="E7" s="5">
        <v>1</v>
      </c>
      <c r="F7" s="8"/>
      <c r="G7" s="8"/>
    </row>
    <row r="8" spans="1:7" ht="15.75">
      <c r="A8" s="2">
        <v>5</v>
      </c>
      <c r="B8" s="2">
        <v>1005369</v>
      </c>
      <c r="C8" s="13" t="s">
        <v>42</v>
      </c>
      <c r="D8" s="3" t="s">
        <v>7</v>
      </c>
      <c r="E8" s="5">
        <v>7</v>
      </c>
      <c r="F8" s="8"/>
      <c r="G8" s="8"/>
    </row>
    <row r="9" spans="1:7" s="12" customFormat="1" ht="15.75">
      <c r="A9" s="2">
        <v>6</v>
      </c>
      <c r="B9" s="2"/>
      <c r="C9" s="11" t="s">
        <v>43</v>
      </c>
      <c r="D9" s="3" t="s">
        <v>7</v>
      </c>
      <c r="E9" s="5">
        <v>1</v>
      </c>
      <c r="F9" s="11"/>
      <c r="G9" s="11"/>
    </row>
    <row r="10" spans="1:7" ht="15.75">
      <c r="A10" s="2">
        <v>7</v>
      </c>
      <c r="B10" s="2"/>
      <c r="C10" s="8" t="s">
        <v>44</v>
      </c>
      <c r="D10" s="3" t="s">
        <v>7</v>
      </c>
      <c r="E10" s="5">
        <v>2</v>
      </c>
      <c r="F10" s="8"/>
      <c r="G10" s="8"/>
    </row>
    <row r="11" spans="1:7" ht="15.75">
      <c r="A11" s="2">
        <v>8</v>
      </c>
      <c r="B11" s="2"/>
      <c r="C11" s="8" t="s">
        <v>30</v>
      </c>
      <c r="D11" s="3" t="s">
        <v>7</v>
      </c>
      <c r="E11" s="5">
        <v>4</v>
      </c>
      <c r="F11" s="8"/>
      <c r="G11" s="8"/>
    </row>
    <row r="12" spans="1:7" ht="15.75">
      <c r="A12" s="2">
        <v>9</v>
      </c>
      <c r="B12" s="2"/>
      <c r="C12" s="8" t="s">
        <v>45</v>
      </c>
      <c r="D12" s="3" t="s">
        <v>7</v>
      </c>
      <c r="E12" s="5">
        <v>3</v>
      </c>
      <c r="F12" s="8"/>
      <c r="G12" s="8"/>
    </row>
    <row r="13" spans="1:7" ht="15.75">
      <c r="A13" s="2">
        <v>10</v>
      </c>
      <c r="B13" s="2"/>
      <c r="C13" s="8" t="s">
        <v>46</v>
      </c>
      <c r="D13" s="3" t="s">
        <v>7</v>
      </c>
      <c r="E13" s="5">
        <v>1</v>
      </c>
      <c r="F13" s="8"/>
      <c r="G13" s="8"/>
    </row>
    <row r="14" spans="1:7" ht="15.75">
      <c r="A14" s="2">
        <v>11</v>
      </c>
      <c r="B14" s="2"/>
      <c r="C14" s="8" t="s">
        <v>47</v>
      </c>
      <c r="D14" s="3" t="s">
        <v>7</v>
      </c>
      <c r="E14" s="5">
        <v>3</v>
      </c>
      <c r="F14" s="8"/>
      <c r="G14" s="8"/>
    </row>
    <row r="15" spans="1:7" ht="15.75">
      <c r="A15" s="2">
        <v>12</v>
      </c>
      <c r="B15" s="2"/>
      <c r="C15" s="8" t="s">
        <v>48</v>
      </c>
      <c r="D15" s="3" t="s">
        <v>7</v>
      </c>
      <c r="E15" s="5">
        <v>1</v>
      </c>
      <c r="F15" s="8"/>
      <c r="G15" s="8"/>
    </row>
    <row r="16" spans="1:7" ht="15.75">
      <c r="A16" s="2">
        <v>13</v>
      </c>
      <c r="B16" s="2"/>
      <c r="C16" s="11" t="s">
        <v>49</v>
      </c>
      <c r="D16" s="3" t="s">
        <v>7</v>
      </c>
      <c r="E16" s="5">
        <v>4</v>
      </c>
      <c r="F16" s="8"/>
      <c r="G16" s="8"/>
    </row>
    <row r="17" spans="1:7" ht="15.75">
      <c r="A17" s="2">
        <v>14</v>
      </c>
      <c r="B17" s="2"/>
      <c r="C17" s="11" t="s">
        <v>50</v>
      </c>
      <c r="D17" s="3" t="s">
        <v>7</v>
      </c>
      <c r="E17" s="5">
        <v>1</v>
      </c>
      <c r="F17" s="8"/>
      <c r="G17" s="8"/>
    </row>
    <row r="18" spans="1:7" ht="15.75">
      <c r="A18" s="2">
        <v>15</v>
      </c>
      <c r="B18" s="2"/>
      <c r="C18" s="11" t="s">
        <v>51</v>
      </c>
      <c r="D18" s="3" t="s">
        <v>7</v>
      </c>
      <c r="E18" s="5">
        <v>1</v>
      </c>
      <c r="F18" s="8"/>
      <c r="G18" s="8"/>
    </row>
    <row r="19" spans="1:7" ht="15.75">
      <c r="A19" s="2">
        <v>16</v>
      </c>
      <c r="B19" s="2"/>
      <c r="C19" s="13" t="s">
        <v>52</v>
      </c>
      <c r="D19" s="3" t="s">
        <v>7</v>
      </c>
      <c r="E19" s="5">
        <v>16</v>
      </c>
      <c r="F19" s="8"/>
      <c r="G19" s="8"/>
    </row>
    <row r="20" spans="1:7" ht="15.75">
      <c r="A20" s="2">
        <v>17</v>
      </c>
      <c r="B20" s="2"/>
      <c r="C20" s="13" t="s">
        <v>53</v>
      </c>
      <c r="D20" s="3" t="s">
        <v>7</v>
      </c>
      <c r="E20" s="5">
        <v>2</v>
      </c>
      <c r="F20" s="8"/>
      <c r="G20" s="8"/>
    </row>
    <row r="21" spans="1:7" ht="15.75">
      <c r="A21" s="2">
        <v>18</v>
      </c>
      <c r="B21" s="2"/>
      <c r="C21" s="13" t="s">
        <v>54</v>
      </c>
      <c r="D21" s="3" t="s">
        <v>7</v>
      </c>
      <c r="E21" s="5">
        <v>14</v>
      </c>
      <c r="F21" s="8"/>
      <c r="G21" s="8"/>
    </row>
    <row r="22" spans="1:7">
      <c r="C22" s="32"/>
    </row>
    <row r="24" spans="1:7">
      <c r="F24" s="9" t="s">
        <v>34</v>
      </c>
      <c r="G24" s="10">
        <f>SUM(G4:G21)</f>
        <v>0</v>
      </c>
    </row>
    <row r="25" spans="1:7">
      <c r="F25" s="9" t="s">
        <v>35</v>
      </c>
      <c r="G25" s="10">
        <f>G24*0.19</f>
        <v>0</v>
      </c>
    </row>
    <row r="26" spans="1:7">
      <c r="F26" s="9" t="s">
        <v>36</v>
      </c>
      <c r="G26" s="9">
        <f>G25+G24</f>
        <v>0</v>
      </c>
    </row>
  </sheetData>
  <autoFilter ref="A3:G21" xr:uid="{00000000-0009-0000-0000-000001000000}">
    <sortState xmlns:xlrd2="http://schemas.microsoft.com/office/spreadsheetml/2017/richdata2" ref="A4:G21">
      <sortCondition ref="A3:A21"/>
    </sortState>
  </autoFilter>
  <pageMargins left="0.7" right="0.7" top="0.75" bottom="0.75" header="0.3" footer="0.3"/>
  <pageSetup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F39"/>
  <sheetViews>
    <sheetView view="pageBreakPreview" zoomScaleNormal="115" zoomScaleSheetLayoutView="100" workbookViewId="0">
      <selection activeCell="B7" sqref="B7"/>
    </sheetView>
  </sheetViews>
  <sheetFormatPr defaultColWidth="11.42578125" defaultRowHeight="15"/>
  <cols>
    <col min="2" max="2" width="72.7109375" style="17" customWidth="1"/>
    <col min="6" max="6" width="14.28515625" customWidth="1"/>
  </cols>
  <sheetData>
    <row r="3" spans="1:6" ht="31.5">
      <c r="A3" s="1" t="s">
        <v>0</v>
      </c>
      <c r="B3" s="1" t="s">
        <v>1</v>
      </c>
      <c r="C3" s="1" t="s">
        <v>2</v>
      </c>
      <c r="D3" s="1" t="s">
        <v>3</v>
      </c>
      <c r="E3" s="7" t="s">
        <v>4</v>
      </c>
      <c r="F3" s="7" t="s">
        <v>5</v>
      </c>
    </row>
    <row r="4" spans="1:6">
      <c r="A4" s="14">
        <v>1</v>
      </c>
      <c r="B4" s="16" t="s">
        <v>55</v>
      </c>
      <c r="C4" s="14" t="s">
        <v>7</v>
      </c>
      <c r="D4" s="14">
        <v>5</v>
      </c>
      <c r="E4" s="15"/>
      <c r="F4" s="15"/>
    </row>
    <row r="5" spans="1:6">
      <c r="A5" s="14">
        <v>2</v>
      </c>
      <c r="B5" s="16" t="s">
        <v>56</v>
      </c>
      <c r="C5" s="14" t="s">
        <v>7</v>
      </c>
      <c r="D5" s="14">
        <v>2</v>
      </c>
      <c r="E5" s="15"/>
      <c r="F5" s="15"/>
    </row>
    <row r="6" spans="1:6">
      <c r="A6" s="14">
        <v>3</v>
      </c>
      <c r="B6" s="16" t="s">
        <v>57</v>
      </c>
      <c r="C6" s="14" t="s">
        <v>7</v>
      </c>
      <c r="D6" s="14">
        <v>1</v>
      </c>
      <c r="E6" s="15"/>
      <c r="F6" s="15"/>
    </row>
    <row r="7" spans="1:6">
      <c r="A7" s="14">
        <v>4</v>
      </c>
      <c r="B7" s="16" t="s">
        <v>58</v>
      </c>
      <c r="C7" s="14" t="s">
        <v>7</v>
      </c>
      <c r="D7" s="14">
        <v>1</v>
      </c>
      <c r="E7" s="15"/>
      <c r="F7" s="15"/>
    </row>
    <row r="8" spans="1:6">
      <c r="A8" s="14">
        <v>5</v>
      </c>
      <c r="B8" s="16" t="s">
        <v>59</v>
      </c>
      <c r="C8" s="14" t="s">
        <v>7</v>
      </c>
      <c r="D8" s="14">
        <v>1</v>
      </c>
      <c r="E8" s="15"/>
      <c r="F8" s="15"/>
    </row>
    <row r="9" spans="1:6">
      <c r="A9" s="14">
        <v>6</v>
      </c>
      <c r="B9" s="16" t="s">
        <v>60</v>
      </c>
      <c r="C9" s="14" t="s">
        <v>7</v>
      </c>
      <c r="D9" s="14">
        <v>1</v>
      </c>
      <c r="E9" s="15"/>
      <c r="F9" s="15"/>
    </row>
    <row r="10" spans="1:6">
      <c r="A10" s="14">
        <v>7</v>
      </c>
      <c r="B10" s="16" t="s">
        <v>61</v>
      </c>
      <c r="C10" s="14" t="s">
        <v>7</v>
      </c>
      <c r="D10" s="14">
        <v>1</v>
      </c>
      <c r="E10" s="15"/>
      <c r="F10" s="15"/>
    </row>
    <row r="11" spans="1:6">
      <c r="A11" s="14">
        <v>8</v>
      </c>
      <c r="B11" s="16" t="s">
        <v>62</v>
      </c>
      <c r="C11" s="14" t="s">
        <v>7</v>
      </c>
      <c r="D11" s="14">
        <v>1</v>
      </c>
      <c r="E11" s="15"/>
      <c r="F11" s="15"/>
    </row>
    <row r="12" spans="1:6">
      <c r="A12" s="14">
        <v>9</v>
      </c>
      <c r="B12" s="16" t="s">
        <v>63</v>
      </c>
      <c r="C12" s="14" t="s">
        <v>7</v>
      </c>
      <c r="D12" s="14">
        <v>12</v>
      </c>
      <c r="E12" s="15"/>
      <c r="F12" s="15"/>
    </row>
    <row r="13" spans="1:6">
      <c r="A13" s="14">
        <v>10</v>
      </c>
      <c r="B13" s="16" t="s">
        <v>64</v>
      </c>
      <c r="C13" s="14" t="s">
        <v>7</v>
      </c>
      <c r="D13" s="14">
        <v>4</v>
      </c>
      <c r="E13" s="15"/>
      <c r="F13" s="15"/>
    </row>
    <row r="14" spans="1:6">
      <c r="A14" s="14">
        <v>11</v>
      </c>
      <c r="B14" s="16" t="s">
        <v>65</v>
      </c>
      <c r="C14" s="14" t="s">
        <v>7</v>
      </c>
      <c r="D14" s="14">
        <v>8</v>
      </c>
      <c r="E14" s="15"/>
      <c r="F14" s="15"/>
    </row>
    <row r="15" spans="1:6">
      <c r="A15" s="14">
        <v>12</v>
      </c>
      <c r="B15" s="16" t="s">
        <v>66</v>
      </c>
      <c r="C15" s="14" t="s">
        <v>7</v>
      </c>
      <c r="D15" s="14">
        <v>3</v>
      </c>
      <c r="E15" s="15"/>
      <c r="F15" s="15"/>
    </row>
    <row r="16" spans="1:6" ht="29.25">
      <c r="A16" s="14">
        <v>13</v>
      </c>
      <c r="B16" s="16" t="s">
        <v>67</v>
      </c>
      <c r="C16" s="14" t="s">
        <v>7</v>
      </c>
      <c r="D16" s="14">
        <v>3</v>
      </c>
      <c r="E16" s="15"/>
      <c r="F16" s="15"/>
    </row>
    <row r="17" spans="1:6" ht="29.25">
      <c r="A17" s="14">
        <v>14</v>
      </c>
      <c r="B17" s="16" t="s">
        <v>68</v>
      </c>
      <c r="C17" s="14" t="s">
        <v>7</v>
      </c>
      <c r="D17" s="14">
        <v>3</v>
      </c>
      <c r="E17" s="15"/>
      <c r="F17" s="15"/>
    </row>
    <row r="18" spans="1:6" ht="29.25">
      <c r="A18" s="14">
        <v>15</v>
      </c>
      <c r="B18" s="16" t="s">
        <v>69</v>
      </c>
      <c r="C18" s="14" t="s">
        <v>7</v>
      </c>
      <c r="D18" s="14">
        <v>1</v>
      </c>
      <c r="E18" s="15"/>
      <c r="F18" s="15"/>
    </row>
    <row r="19" spans="1:6">
      <c r="A19" s="14">
        <v>16</v>
      </c>
      <c r="B19" s="16" t="s">
        <v>70</v>
      </c>
      <c r="C19" s="14" t="s">
        <v>7</v>
      </c>
      <c r="D19" s="14">
        <v>110</v>
      </c>
      <c r="E19" s="15"/>
      <c r="F19" s="15"/>
    </row>
    <row r="20" spans="1:6">
      <c r="A20" s="14">
        <v>17</v>
      </c>
      <c r="B20" s="16" t="s">
        <v>71</v>
      </c>
      <c r="C20" s="14" t="s">
        <v>7</v>
      </c>
      <c r="D20" s="14">
        <v>50</v>
      </c>
      <c r="E20" s="15"/>
      <c r="F20" s="15"/>
    </row>
    <row r="21" spans="1:6">
      <c r="A21" s="14">
        <v>18</v>
      </c>
      <c r="B21" s="16" t="s">
        <v>72</v>
      </c>
      <c r="C21" s="14" t="s">
        <v>7</v>
      </c>
      <c r="D21" s="14">
        <v>8</v>
      </c>
      <c r="E21" s="15"/>
      <c r="F21" s="15"/>
    </row>
    <row r="22" spans="1:6">
      <c r="A22" s="14">
        <v>19</v>
      </c>
      <c r="B22" s="16" t="s">
        <v>73</v>
      </c>
      <c r="C22" s="14" t="s">
        <v>7</v>
      </c>
      <c r="D22" s="14">
        <v>150</v>
      </c>
      <c r="E22" s="15"/>
      <c r="F22" s="15"/>
    </row>
    <row r="23" spans="1:6">
      <c r="A23" s="14">
        <v>20</v>
      </c>
      <c r="B23" s="16" t="s">
        <v>74</v>
      </c>
      <c r="C23" s="14" t="s">
        <v>7</v>
      </c>
      <c r="D23" s="14">
        <v>1</v>
      </c>
      <c r="E23" s="15"/>
      <c r="F23" s="15"/>
    </row>
    <row r="24" spans="1:6">
      <c r="A24" s="14">
        <v>21</v>
      </c>
      <c r="B24" s="16" t="s">
        <v>75</v>
      </c>
      <c r="C24" s="14" t="s">
        <v>7</v>
      </c>
      <c r="D24" s="14">
        <v>1</v>
      </c>
      <c r="E24" s="15"/>
      <c r="F24" s="15"/>
    </row>
    <row r="25" spans="1:6">
      <c r="A25" s="14">
        <v>22</v>
      </c>
      <c r="B25" s="16" t="s">
        <v>76</v>
      </c>
      <c r="C25" s="14" t="s">
        <v>7</v>
      </c>
      <c r="D25" s="14">
        <v>1</v>
      </c>
      <c r="E25" s="15"/>
      <c r="F25" s="15"/>
    </row>
    <row r="26" spans="1:6">
      <c r="A26" s="14">
        <v>23</v>
      </c>
      <c r="B26" s="16" t="s">
        <v>77</v>
      </c>
      <c r="C26" s="14" t="s">
        <v>7</v>
      </c>
      <c r="D26" s="14">
        <v>1</v>
      </c>
      <c r="E26" s="15"/>
      <c r="F26" s="15"/>
    </row>
    <row r="27" spans="1:6">
      <c r="A27" s="14">
        <v>24</v>
      </c>
      <c r="B27" s="16" t="s">
        <v>78</v>
      </c>
      <c r="C27" s="14" t="s">
        <v>7</v>
      </c>
      <c r="D27" s="14">
        <v>6</v>
      </c>
      <c r="E27" s="15"/>
      <c r="F27" s="15"/>
    </row>
    <row r="28" spans="1:6">
      <c r="A28" s="14">
        <v>25</v>
      </c>
      <c r="B28" s="16" t="s">
        <v>79</v>
      </c>
      <c r="C28" s="14" t="s">
        <v>7</v>
      </c>
      <c r="D28" s="14">
        <v>4</v>
      </c>
      <c r="E28" s="15"/>
      <c r="F28" s="15"/>
    </row>
    <row r="29" spans="1:6">
      <c r="A29" s="14">
        <v>26</v>
      </c>
      <c r="B29" s="16" t="s">
        <v>80</v>
      </c>
      <c r="C29" s="14" t="s">
        <v>7</v>
      </c>
      <c r="D29" s="14">
        <v>7</v>
      </c>
      <c r="E29" s="15"/>
      <c r="F29" s="15"/>
    </row>
    <row r="30" spans="1:6">
      <c r="A30" s="14">
        <v>27</v>
      </c>
      <c r="B30" s="16" t="s">
        <v>81</v>
      </c>
      <c r="C30" s="14" t="s">
        <v>7</v>
      </c>
      <c r="D30" s="14">
        <v>40</v>
      </c>
      <c r="E30" s="15"/>
      <c r="F30" s="15"/>
    </row>
    <row r="31" spans="1:6">
      <c r="A31" s="14">
        <v>28</v>
      </c>
      <c r="B31" s="16" t="s">
        <v>82</v>
      </c>
      <c r="C31" s="14" t="s">
        <v>7</v>
      </c>
      <c r="D31" s="14">
        <v>3</v>
      </c>
      <c r="E31" s="15"/>
      <c r="F31" s="15"/>
    </row>
    <row r="32" spans="1:6">
      <c r="A32" s="14">
        <v>29</v>
      </c>
      <c r="B32" s="16" t="s">
        <v>83</v>
      </c>
      <c r="C32" s="14" t="s">
        <v>7</v>
      </c>
      <c r="D32" s="14">
        <v>4</v>
      </c>
      <c r="E32" s="15"/>
      <c r="F32" s="15"/>
    </row>
    <row r="33" spans="1:6">
      <c r="A33" s="14">
        <v>30</v>
      </c>
      <c r="B33" s="16" t="s">
        <v>84</v>
      </c>
      <c r="C33" s="14" t="s">
        <v>7</v>
      </c>
      <c r="D33" s="14">
        <v>1</v>
      </c>
      <c r="E33" s="15"/>
      <c r="F33" s="15"/>
    </row>
    <row r="34" spans="1:6">
      <c r="A34" s="14">
        <v>31</v>
      </c>
      <c r="B34" s="16" t="s">
        <v>85</v>
      </c>
      <c r="C34" s="14" t="s">
        <v>7</v>
      </c>
      <c r="D34" s="14">
        <v>20</v>
      </c>
      <c r="E34" s="15"/>
      <c r="F34" s="15"/>
    </row>
    <row r="35" spans="1:6">
      <c r="A35" s="14">
        <v>32</v>
      </c>
      <c r="B35" s="16" t="s">
        <v>86</v>
      </c>
      <c r="C35" s="14" t="s">
        <v>7</v>
      </c>
      <c r="D35" s="14">
        <v>20</v>
      </c>
      <c r="E35" s="15"/>
      <c r="F35" s="15"/>
    </row>
    <row r="37" spans="1:6">
      <c r="E37" s="9" t="s">
        <v>34</v>
      </c>
      <c r="F37" s="10">
        <f>SUM(F4:F35)</f>
        <v>0</v>
      </c>
    </row>
    <row r="38" spans="1:6">
      <c r="E38" s="9" t="s">
        <v>35</v>
      </c>
      <c r="F38" s="10">
        <f>F37*0.19</f>
        <v>0</v>
      </c>
    </row>
    <row r="39" spans="1:6">
      <c r="E39" s="9" t="s">
        <v>36</v>
      </c>
      <c r="F39" s="9">
        <f>F38+F37</f>
        <v>0</v>
      </c>
    </row>
  </sheetData>
  <autoFilter ref="A3:F35" xr:uid="{00000000-0009-0000-0000-000002000000}">
    <sortState xmlns:xlrd2="http://schemas.microsoft.com/office/spreadsheetml/2017/richdata2" ref="A4:F35">
      <sortCondition ref="A3:A35"/>
    </sortState>
  </autoFilter>
  <pageMargins left="0.7" right="0.7" top="0.75" bottom="0.75" header="0.3" footer="0.3"/>
  <pageSetup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F23"/>
  <sheetViews>
    <sheetView tabSelected="1" workbookViewId="0">
      <selection activeCell="B3" sqref="B3"/>
    </sheetView>
  </sheetViews>
  <sheetFormatPr defaultColWidth="11.42578125" defaultRowHeight="15"/>
  <cols>
    <col min="2" max="2" width="87.140625" customWidth="1"/>
  </cols>
  <sheetData>
    <row r="2" spans="1:6" ht="31.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</row>
    <row r="3" spans="1:6" ht="90.75" customHeight="1">
      <c r="A3" s="19">
        <v>1</v>
      </c>
      <c r="B3" s="20" t="s">
        <v>87</v>
      </c>
      <c r="C3" s="21" t="s">
        <v>7</v>
      </c>
      <c r="D3" s="22">
        <v>1</v>
      </c>
      <c r="E3" s="23"/>
      <c r="F3" s="23"/>
    </row>
    <row r="4" spans="1:6" ht="97.5" customHeight="1">
      <c r="A4" s="19">
        <v>2</v>
      </c>
      <c r="B4" s="20" t="s">
        <v>88</v>
      </c>
      <c r="C4" s="21" t="s">
        <v>7</v>
      </c>
      <c r="D4" s="22">
        <v>1</v>
      </c>
      <c r="E4" s="23"/>
      <c r="F4" s="23"/>
    </row>
    <row r="5" spans="1:6" ht="15.75">
      <c r="A5" s="19">
        <v>3</v>
      </c>
      <c r="B5" s="24" t="s">
        <v>89</v>
      </c>
      <c r="C5" s="21" t="s">
        <v>7</v>
      </c>
      <c r="D5" s="22">
        <v>3</v>
      </c>
      <c r="E5" s="23"/>
      <c r="F5" s="23"/>
    </row>
    <row r="6" spans="1:6" ht="15.75">
      <c r="A6" s="19">
        <v>4</v>
      </c>
      <c r="B6" s="26" t="s">
        <v>90</v>
      </c>
      <c r="C6" s="27" t="s">
        <v>7</v>
      </c>
      <c r="D6" s="28">
        <v>2</v>
      </c>
      <c r="E6" s="23"/>
      <c r="F6" s="23"/>
    </row>
    <row r="7" spans="1:6" ht="15.75">
      <c r="A7" s="19">
        <v>5</v>
      </c>
      <c r="B7" s="24" t="s">
        <v>91</v>
      </c>
      <c r="C7" s="21" t="s">
        <v>7</v>
      </c>
      <c r="D7" s="22">
        <v>2</v>
      </c>
      <c r="E7" s="23"/>
      <c r="F7" s="23"/>
    </row>
    <row r="8" spans="1:6" ht="15.75">
      <c r="A8" s="19">
        <v>6</v>
      </c>
      <c r="B8" s="24" t="s">
        <v>92</v>
      </c>
      <c r="C8" s="21" t="s">
        <v>7</v>
      </c>
      <c r="D8" s="22">
        <v>1</v>
      </c>
      <c r="E8" s="23"/>
      <c r="F8" s="23"/>
    </row>
    <row r="9" spans="1:6" ht="15.75">
      <c r="A9" s="19">
        <v>7</v>
      </c>
      <c r="B9" s="24" t="s">
        <v>93</v>
      </c>
      <c r="C9" s="21" t="s">
        <v>7</v>
      </c>
      <c r="D9" s="22">
        <v>6</v>
      </c>
      <c r="E9" s="23"/>
      <c r="F9" s="23"/>
    </row>
    <row r="10" spans="1:6" ht="15.75">
      <c r="A10" s="19">
        <v>8</v>
      </c>
      <c r="B10" s="24" t="s">
        <v>94</v>
      </c>
      <c r="C10" s="21" t="s">
        <v>7</v>
      </c>
      <c r="D10" s="22">
        <v>2</v>
      </c>
      <c r="E10" s="23"/>
      <c r="F10" s="23"/>
    </row>
    <row r="11" spans="1:6" ht="15.75">
      <c r="A11" s="19">
        <v>9</v>
      </c>
      <c r="B11" s="24" t="s">
        <v>95</v>
      </c>
      <c r="C11" s="21" t="s">
        <v>7</v>
      </c>
      <c r="D11" s="22">
        <v>3</v>
      </c>
      <c r="E11" s="23"/>
      <c r="F11" s="23"/>
    </row>
    <row r="12" spans="1:6" ht="15.75">
      <c r="A12" s="19">
        <v>10</v>
      </c>
      <c r="B12" s="24" t="s">
        <v>96</v>
      </c>
      <c r="C12" s="21" t="s">
        <v>7</v>
      </c>
      <c r="D12" s="22">
        <v>4</v>
      </c>
      <c r="E12" s="23"/>
      <c r="F12" s="23"/>
    </row>
    <row r="13" spans="1:6" ht="15.75">
      <c r="A13" s="19">
        <v>11</v>
      </c>
      <c r="B13" s="24" t="s">
        <v>97</v>
      </c>
      <c r="C13" s="21" t="s">
        <v>7</v>
      </c>
      <c r="D13" s="22">
        <v>1</v>
      </c>
      <c r="E13" s="23"/>
      <c r="F13" s="23"/>
    </row>
    <row r="14" spans="1:6" ht="91.5" customHeight="1">
      <c r="A14" s="19">
        <v>12</v>
      </c>
      <c r="B14" s="20" t="s">
        <v>98</v>
      </c>
      <c r="C14" s="21" t="s">
        <v>7</v>
      </c>
      <c r="D14" s="22">
        <v>1</v>
      </c>
      <c r="E14" s="23"/>
      <c r="F14" s="23"/>
    </row>
    <row r="15" spans="1:6" ht="104.25" customHeight="1">
      <c r="A15" s="19">
        <v>13</v>
      </c>
      <c r="B15" s="20" t="s">
        <v>99</v>
      </c>
      <c r="C15" s="21" t="s">
        <v>7</v>
      </c>
      <c r="D15" s="22">
        <v>1</v>
      </c>
      <c r="E15" s="23"/>
      <c r="F15" s="23"/>
    </row>
    <row r="16" spans="1:6" ht="15.75">
      <c r="A16" s="19">
        <v>14</v>
      </c>
      <c r="B16" s="20" t="s">
        <v>100</v>
      </c>
      <c r="C16" s="21" t="s">
        <v>7</v>
      </c>
      <c r="D16" s="22">
        <v>2</v>
      </c>
      <c r="E16" s="23"/>
      <c r="F16" s="23"/>
    </row>
    <row r="17" spans="1:6" ht="15.75">
      <c r="A17" s="19">
        <v>15</v>
      </c>
      <c r="B17" s="24" t="s">
        <v>101</v>
      </c>
      <c r="C17" s="21" t="s">
        <v>7</v>
      </c>
      <c r="D17" s="22">
        <v>4</v>
      </c>
      <c r="E17" s="23"/>
      <c r="F17" s="23"/>
    </row>
    <row r="18" spans="1:6" ht="15.75">
      <c r="A18" s="19">
        <v>16</v>
      </c>
      <c r="B18" s="20" t="s">
        <v>102</v>
      </c>
      <c r="C18" s="21" t="s">
        <v>7</v>
      </c>
      <c r="D18" s="22">
        <v>1</v>
      </c>
      <c r="E18" s="23"/>
      <c r="F18" s="23"/>
    </row>
    <row r="19" spans="1:6" ht="15.75">
      <c r="A19" s="19">
        <v>17</v>
      </c>
      <c r="B19" s="24" t="s">
        <v>103</v>
      </c>
      <c r="C19" s="21" t="s">
        <v>7</v>
      </c>
      <c r="D19" s="22">
        <v>2</v>
      </c>
      <c r="E19" s="23"/>
      <c r="F19" s="23"/>
    </row>
    <row r="20" spans="1:6" ht="15.75">
      <c r="A20" s="19">
        <v>18</v>
      </c>
      <c r="B20" s="24" t="s">
        <v>104</v>
      </c>
      <c r="C20" s="21" t="s">
        <v>7</v>
      </c>
      <c r="D20" s="22">
        <v>2</v>
      </c>
      <c r="E20" s="23"/>
      <c r="F20" s="23"/>
    </row>
    <row r="21" spans="1:6" ht="15.75">
      <c r="A21" s="19">
        <v>19</v>
      </c>
      <c r="B21" s="24" t="s">
        <v>105</v>
      </c>
      <c r="C21" s="25" t="s">
        <v>7</v>
      </c>
      <c r="D21" s="22">
        <v>1</v>
      </c>
      <c r="E21" s="23"/>
      <c r="F21" s="23"/>
    </row>
    <row r="22" spans="1:6" ht="15.75">
      <c r="A22" s="19">
        <v>20</v>
      </c>
      <c r="B22" s="24" t="s">
        <v>106</v>
      </c>
      <c r="C22" s="25" t="s">
        <v>7</v>
      </c>
      <c r="D22" s="22">
        <v>5</v>
      </c>
      <c r="E22" s="23"/>
      <c r="F22" s="23"/>
    </row>
    <row r="23" spans="1:6" ht="15.75">
      <c r="A23" s="19">
        <v>21</v>
      </c>
      <c r="B23" s="24" t="s">
        <v>107</v>
      </c>
      <c r="C23" s="25" t="s">
        <v>7</v>
      </c>
      <c r="D23" s="22">
        <v>1</v>
      </c>
      <c r="E23" s="23"/>
      <c r="F23" s="23"/>
    </row>
  </sheetData>
  <autoFilter ref="A2:F23" xr:uid="{00000000-0009-0000-0000-000003000000}">
    <sortState xmlns:xlrd2="http://schemas.microsoft.com/office/spreadsheetml/2017/richdata2" ref="A3:F23">
      <sortCondition ref="A2:A23"/>
    </sortState>
  </autoFilter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Cid Gamez</dc:creator>
  <cp:keywords/>
  <dc:description/>
  <cp:lastModifiedBy/>
  <cp:revision/>
  <dcterms:created xsi:type="dcterms:W3CDTF">2025-10-27T04:39:32Z</dcterms:created>
  <dcterms:modified xsi:type="dcterms:W3CDTF">2026-07-28T15:24:50Z</dcterms:modified>
  <cp:category/>
  <cp:contentStatus/>
</cp:coreProperties>
</file>