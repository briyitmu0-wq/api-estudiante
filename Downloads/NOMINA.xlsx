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A9131190-F775-4B3D-B3CA-A4875005B177}" xr6:coauthVersionLast="47" xr6:coauthVersionMax="47" xr10:uidLastSave="{00000000-0000-0000-0000-000000000000}"/>
  <bookViews>
    <workbookView xWindow="11424" yWindow="0" windowWidth="11232" windowHeight="12336" xr2:uid="{41140303-1783-4E9D-B1D3-DF1CFF35B67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1" l="1"/>
  <c r="L48" i="1"/>
  <c r="E53" i="1"/>
  <c r="D53" i="1"/>
  <c r="J53" i="1"/>
  <c r="I53" i="1"/>
  <c r="H53" i="1"/>
  <c r="G53" i="1"/>
  <c r="F53" i="1"/>
  <c r="H52" i="1"/>
  <c r="K52" i="1"/>
  <c r="L52" i="1" s="1"/>
  <c r="K51" i="1"/>
  <c r="L51" i="1" s="1"/>
  <c r="I51" i="1"/>
  <c r="K49" i="1"/>
  <c r="K50" i="1"/>
  <c r="L50" i="1" s="1"/>
  <c r="K48" i="1"/>
  <c r="J48" i="1"/>
  <c r="J43" i="1"/>
  <c r="K43" i="1"/>
  <c r="D43" i="1"/>
  <c r="C32" i="1"/>
  <c r="C31" i="1"/>
  <c r="F41" i="1"/>
  <c r="C26" i="1"/>
  <c r="H41" i="1" s="1"/>
  <c r="C16" i="1"/>
  <c r="H39" i="1" s="1"/>
  <c r="L40" i="1"/>
  <c r="D50" i="1" s="1"/>
  <c r="C17" i="1"/>
  <c r="I39" i="1" s="1"/>
  <c r="H38" i="1"/>
  <c r="D9" i="1"/>
  <c r="I38" i="1" s="1"/>
  <c r="G39" i="1"/>
  <c r="G40" i="1"/>
  <c r="G42" i="1"/>
  <c r="G38" i="1"/>
  <c r="F40" i="1"/>
  <c r="F42" i="1"/>
  <c r="F39" i="1"/>
  <c r="D8" i="1"/>
  <c r="F38" i="1"/>
  <c r="F43" i="1" s="1"/>
  <c r="K53" i="1" l="1"/>
  <c r="L53" i="1"/>
  <c r="E50" i="1"/>
  <c r="F50" i="1"/>
  <c r="G43" i="1"/>
  <c r="L41" i="1"/>
  <c r="D51" i="1" s="1"/>
  <c r="I43" i="1"/>
  <c r="L38" i="1"/>
  <c r="D48" i="1" s="1"/>
  <c r="L39" i="1"/>
  <c r="D49" i="1" s="1"/>
  <c r="H42" i="1"/>
  <c r="H43" i="1" s="1"/>
  <c r="E49" i="1" l="1"/>
  <c r="F49" i="1"/>
  <c r="E51" i="1"/>
  <c r="F51" i="1"/>
  <c r="F48" i="1"/>
  <c r="E48" i="1"/>
  <c r="L42" i="1"/>
  <c r="D52" i="1" s="1"/>
  <c r="L43" i="1"/>
  <c r="F52" i="1" l="1"/>
  <c r="E52" i="1"/>
</calcChain>
</file>

<file path=xl/sharedStrings.xml><?xml version="1.0" encoding="utf-8"?>
<sst xmlns="http://schemas.openxmlformats.org/spreadsheetml/2006/main" count="100" uniqueCount="72">
  <si>
    <t>Maria Dita</t>
  </si>
  <si>
    <t>Nombre</t>
  </si>
  <si>
    <t>N°</t>
  </si>
  <si>
    <t>DEVENGADO</t>
  </si>
  <si>
    <t xml:space="preserve">supermercado La Costeña abre de lunes a domingo y liquida su nómina por quincena. Usted es responsable de liquidar la primera quincena de agosto para los 5 trabajadores que se relacionan a continuación </t>
  </si>
  <si>
    <t>Cajera</t>
  </si>
  <si>
    <t>Cargo</t>
  </si>
  <si>
    <t>Salario</t>
  </si>
  <si>
    <t>mini</t>
  </si>
  <si>
    <t>4HED</t>
  </si>
  <si>
    <t>6HEDD</t>
  </si>
  <si>
    <t>DOMINGO</t>
  </si>
  <si>
    <t>Días laborados</t>
  </si>
  <si>
    <t xml:space="preserve">TIENE UNA CUOTA CON EL FONDO DE EMPLEADO DE $35,000  y ademas un descuento de 125,000 por un faltante  de caja para pagar en 3 cuotas </t>
  </si>
  <si>
    <t>Alan Brito</t>
  </si>
  <si>
    <t xml:space="preserve">auxiliar de bodega </t>
  </si>
  <si>
    <t>3HEN</t>
  </si>
  <si>
    <t>8RN</t>
  </si>
  <si>
    <t>NOVEDADES</t>
  </si>
  <si>
    <t>TIENE UNA LIBRANZA DE 150,000</t>
  </si>
  <si>
    <t>Luz Rojas</t>
  </si>
  <si>
    <t>Impulsadora</t>
  </si>
  <si>
    <t xml:space="preserve">comisiones </t>
  </si>
  <si>
    <t>Riomar Del Valle</t>
  </si>
  <si>
    <t>jefe de sección</t>
  </si>
  <si>
    <t>5HED</t>
  </si>
  <si>
    <t>Tiene una libranza de$ 2,100,000 para pagar en 3 cuotas y una cuota de prestamo de $250,000</t>
  </si>
  <si>
    <t>Dairo Meza</t>
  </si>
  <si>
    <t>Vigilante</t>
  </si>
  <si>
    <t xml:space="preserve">Tiene un embargo del 40% del devengado </t>
  </si>
  <si>
    <t>EMPLEADO</t>
  </si>
  <si>
    <t>CARGO</t>
  </si>
  <si>
    <t>SALARIO MENSUAL</t>
  </si>
  <si>
    <t>DÍAS</t>
  </si>
  <si>
    <t xml:space="preserve">SALARIO BASICO </t>
  </si>
  <si>
    <t>AUX. TRANSPORTE</t>
  </si>
  <si>
    <t>HORAS EXTRAS</t>
  </si>
  <si>
    <t>RECARGOS</t>
  </si>
  <si>
    <t>BONIFICACIONES</t>
  </si>
  <si>
    <t xml:space="preserve">TOTAL DEVENGADO </t>
  </si>
  <si>
    <t>DEDUCIDO</t>
  </si>
  <si>
    <t>Concepto</t>
  </si>
  <si>
    <t>Sigla</t>
  </si>
  <si>
    <t>Factor</t>
  </si>
  <si>
    <t>Hora extra diurna</t>
  </si>
  <si>
    <t>HED</t>
  </si>
  <si>
    <t>Hora extra nocturna</t>
  </si>
  <si>
    <t>HEN</t>
  </si>
  <si>
    <t>Recargo nocturno</t>
  </si>
  <si>
    <t>RN</t>
  </si>
  <si>
    <t>Recargo nocturno dominical/festivo</t>
  </si>
  <si>
    <t>RNDF</t>
  </si>
  <si>
    <t>1,25 (= 0,35 + 0,90)</t>
  </si>
  <si>
    <t>Hora extra diurna dominical/festiva</t>
  </si>
  <si>
    <t>HEDD</t>
  </si>
  <si>
    <t>Hora extra nocturna dominical/festiva</t>
  </si>
  <si>
    <t>HEND</t>
  </si>
  <si>
    <t>Recargo dominical / festivo diurno</t>
  </si>
  <si>
    <t>RDF</t>
  </si>
  <si>
    <t>10RN</t>
  </si>
  <si>
    <t>8RND</t>
  </si>
  <si>
    <t>TOTALES</t>
  </si>
  <si>
    <t>IBC</t>
  </si>
  <si>
    <t>SALUD 4%</t>
  </si>
  <si>
    <t>PENSIÓN 4%</t>
  </si>
  <si>
    <t>OTRAS DEDUCCIONES</t>
  </si>
  <si>
    <t xml:space="preserve">NETO A PAGAR </t>
  </si>
  <si>
    <t>FONDO DE EMPLEADO</t>
  </si>
  <si>
    <t>EMBARGO</t>
  </si>
  <si>
    <t>LIBRANZA</t>
  </si>
  <si>
    <t>COMISIONES</t>
  </si>
  <si>
    <t>TOTAL DEDUCIDO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</si>
</sst>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7.5"/>
      <color rgb="FFFFFFFF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4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5" fillId="3" borderId="3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justify" vertical="center" wrapText="1"/>
    </xf>
    <xf numFmtId="0" fontId="5" fillId="4" borderId="3" xfId="0" applyFont="1" applyFill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5CFC-DF23-4209-A9AC-7E08887FF28B}">
  <dimension ref="A1:N54"/>
  <sheetViews>
    <sheetView tabSelected="1" topLeftCell="D22" zoomScale="53" zoomScaleNormal="80" workbookViewId="0">
      <selection activeCell="K56" sqref="K56"/>
    </sheetView>
  </sheetViews>
  <sheetFormatPr baseColWidth="10" defaultRowHeight="14.4" x14ac:dyDescent="0.3"/>
  <cols>
    <col min="1" max="1" width="4.6640625" customWidth="1"/>
    <col min="2" max="2" width="18" customWidth="1"/>
    <col min="3" max="3" width="16.6640625" customWidth="1"/>
    <col min="4" max="4" width="16.88671875" customWidth="1"/>
    <col min="6" max="6" width="14.88671875" customWidth="1"/>
    <col min="7" max="9" width="20.5546875" customWidth="1"/>
    <col min="10" max="10" width="27.21875" customWidth="1"/>
    <col min="11" max="11" width="24.109375" customWidth="1"/>
    <col min="12" max="12" width="27.44140625" customWidth="1"/>
    <col min="13" max="13" width="15.6640625" customWidth="1"/>
    <col min="14" max="14" width="17.77734375" customWidth="1"/>
  </cols>
  <sheetData>
    <row r="1" spans="1:6" x14ac:dyDescent="0.3">
      <c r="A1" t="s">
        <v>4</v>
      </c>
    </row>
    <row r="4" spans="1:6" x14ac:dyDescent="0.3">
      <c r="A4" t="s">
        <v>2</v>
      </c>
      <c r="B4" t="s">
        <v>1</v>
      </c>
      <c r="C4" t="s">
        <v>6</v>
      </c>
      <c r="D4" t="s">
        <v>7</v>
      </c>
      <c r="E4" t="s">
        <v>12</v>
      </c>
      <c r="F4" t="s">
        <v>22</v>
      </c>
    </row>
    <row r="5" spans="1:6" x14ac:dyDescent="0.3">
      <c r="A5">
        <v>1</v>
      </c>
      <c r="B5" t="s">
        <v>0</v>
      </c>
      <c r="C5" t="s">
        <v>5</v>
      </c>
      <c r="D5" t="s">
        <v>8</v>
      </c>
      <c r="E5">
        <v>15</v>
      </c>
    </row>
    <row r="7" spans="1:6" x14ac:dyDescent="0.3">
      <c r="A7" t="s">
        <v>18</v>
      </c>
    </row>
    <row r="8" spans="1:6" x14ac:dyDescent="0.3">
      <c r="A8" t="s">
        <v>9</v>
      </c>
      <c r="D8" s="2">
        <f>+(D38/210)*4*1.25</f>
        <v>41688.214285714283</v>
      </c>
    </row>
    <row r="9" spans="1:6" x14ac:dyDescent="0.3">
      <c r="A9" t="s">
        <v>10</v>
      </c>
      <c r="C9" t="s">
        <v>11</v>
      </c>
      <c r="D9" s="2">
        <f>+(D38/210)*0.9*6</f>
        <v>45023.271428571432</v>
      </c>
    </row>
    <row r="10" spans="1:6" x14ac:dyDescent="0.3">
      <c r="A10" t="s">
        <v>13</v>
      </c>
    </row>
    <row r="13" spans="1:6" x14ac:dyDescent="0.3">
      <c r="A13">
        <v>2</v>
      </c>
      <c r="B13" t="s">
        <v>14</v>
      </c>
      <c r="C13" t="s">
        <v>15</v>
      </c>
      <c r="D13" s="2">
        <v>1850000</v>
      </c>
      <c r="E13">
        <v>15</v>
      </c>
    </row>
    <row r="15" spans="1:6" x14ac:dyDescent="0.3">
      <c r="A15" t="s">
        <v>18</v>
      </c>
    </row>
    <row r="16" spans="1:6" x14ac:dyDescent="0.3">
      <c r="A16" t="s">
        <v>16</v>
      </c>
      <c r="C16" s="2">
        <f>+(D39/210)*3*1.75</f>
        <v>46250</v>
      </c>
    </row>
    <row r="17" spans="1:6" x14ac:dyDescent="0.3">
      <c r="A17" t="s">
        <v>17</v>
      </c>
      <c r="C17" s="2">
        <f>+(D39/210)*0.35*8</f>
        <v>24666.666666666664</v>
      </c>
    </row>
    <row r="18" spans="1:6" x14ac:dyDescent="0.3">
      <c r="A18" t="s">
        <v>19</v>
      </c>
    </row>
    <row r="20" spans="1:6" x14ac:dyDescent="0.3">
      <c r="A20">
        <v>3</v>
      </c>
      <c r="B20" t="s">
        <v>20</v>
      </c>
      <c r="C20" t="s">
        <v>21</v>
      </c>
      <c r="D20" t="s">
        <v>8</v>
      </c>
      <c r="E20">
        <v>15</v>
      </c>
      <c r="F20" s="2">
        <v>420000</v>
      </c>
    </row>
    <row r="23" spans="1:6" x14ac:dyDescent="0.3">
      <c r="A23">
        <v>4</v>
      </c>
      <c r="B23" t="s">
        <v>23</v>
      </c>
      <c r="C23" t="s">
        <v>24</v>
      </c>
      <c r="D23" s="2">
        <v>3600000</v>
      </c>
      <c r="E23">
        <v>14</v>
      </c>
    </row>
    <row r="25" spans="1:6" x14ac:dyDescent="0.3">
      <c r="A25" t="s">
        <v>18</v>
      </c>
    </row>
    <row r="26" spans="1:6" x14ac:dyDescent="0.3">
      <c r="A26" t="s">
        <v>25</v>
      </c>
      <c r="C26" s="2">
        <f>+(D41/210)*5*1.25</f>
        <v>107142.85714285713</v>
      </c>
    </row>
    <row r="27" spans="1:6" x14ac:dyDescent="0.3">
      <c r="A27" t="s">
        <v>26</v>
      </c>
    </row>
    <row r="29" spans="1:6" x14ac:dyDescent="0.3">
      <c r="A29">
        <v>5</v>
      </c>
      <c r="B29" t="s">
        <v>27</v>
      </c>
      <c r="C29" t="s">
        <v>28</v>
      </c>
      <c r="D29">
        <v>2100000</v>
      </c>
      <c r="E29">
        <v>11</v>
      </c>
    </row>
    <row r="31" spans="1:6" x14ac:dyDescent="0.3">
      <c r="A31" t="s">
        <v>59</v>
      </c>
      <c r="C31" s="2">
        <f>+(D42/210)*10*0.35</f>
        <v>35000</v>
      </c>
    </row>
    <row r="32" spans="1:6" x14ac:dyDescent="0.3">
      <c r="A32" t="s">
        <v>60</v>
      </c>
      <c r="C32" s="2">
        <f>+(D42/210)*8*1.25</f>
        <v>100000</v>
      </c>
    </row>
    <row r="33" spans="1:14" x14ac:dyDescent="0.3">
      <c r="A33" t="s">
        <v>29</v>
      </c>
    </row>
    <row r="35" spans="1:14" x14ac:dyDescent="0.3">
      <c r="A35" s="1" t="s">
        <v>3</v>
      </c>
    </row>
    <row r="37" spans="1:14" x14ac:dyDescent="0.3">
      <c r="A37" s="13" t="s">
        <v>2</v>
      </c>
      <c r="B37" s="13" t="s">
        <v>30</v>
      </c>
      <c r="C37" s="13" t="s">
        <v>31</v>
      </c>
      <c r="D37" s="13" t="s">
        <v>32</v>
      </c>
      <c r="E37" s="13" t="s">
        <v>33</v>
      </c>
      <c r="F37" s="14" t="s">
        <v>34</v>
      </c>
      <c r="G37" s="13" t="s">
        <v>35</v>
      </c>
      <c r="H37" s="13" t="s">
        <v>36</v>
      </c>
      <c r="I37" s="13" t="s">
        <v>37</v>
      </c>
      <c r="J37" s="13" t="s">
        <v>70</v>
      </c>
      <c r="K37" s="13" t="s">
        <v>38</v>
      </c>
      <c r="L37" s="13" t="s">
        <v>39</v>
      </c>
    </row>
    <row r="38" spans="1:14" x14ac:dyDescent="0.3">
      <c r="A38" s="13">
        <v>1</v>
      </c>
      <c r="B38" s="11" t="s">
        <v>0</v>
      </c>
      <c r="C38" s="11" t="s">
        <v>5</v>
      </c>
      <c r="D38" s="15">
        <v>1750905</v>
      </c>
      <c r="E38" s="11">
        <v>15</v>
      </c>
      <c r="F38" s="15">
        <f>+(D38/30)*E38</f>
        <v>875452.5</v>
      </c>
      <c r="G38" s="15">
        <f>+(249095/30)*E38</f>
        <v>124547.49999999999</v>
      </c>
      <c r="H38" s="15">
        <f>+D8</f>
        <v>41688.214285714283</v>
      </c>
      <c r="I38" s="15">
        <f>+D9</f>
        <v>45023.271428571432</v>
      </c>
      <c r="J38" s="15">
        <v>0</v>
      </c>
      <c r="K38" s="15">
        <v>0</v>
      </c>
      <c r="L38" s="15">
        <f>+SUM(F38:K38)</f>
        <v>1086711.4857142856</v>
      </c>
    </row>
    <row r="39" spans="1:14" x14ac:dyDescent="0.3">
      <c r="A39" s="13">
        <v>2</v>
      </c>
      <c r="B39" s="11" t="s">
        <v>14</v>
      </c>
      <c r="C39" s="11" t="s">
        <v>15</v>
      </c>
      <c r="D39" s="15">
        <v>1850000</v>
      </c>
      <c r="E39" s="11">
        <v>15</v>
      </c>
      <c r="F39" s="15">
        <f>+(D39/30)*E39</f>
        <v>925000</v>
      </c>
      <c r="G39" s="15">
        <f t="shared" ref="G39:G42" si="0">+(249095/30)*E39</f>
        <v>124547.49999999999</v>
      </c>
      <c r="H39" s="15">
        <f>+C16</f>
        <v>46250</v>
      </c>
      <c r="I39" s="15">
        <f>+C17</f>
        <v>24666.666666666664</v>
      </c>
      <c r="J39" s="15">
        <v>0</v>
      </c>
      <c r="K39" s="15">
        <v>0</v>
      </c>
      <c r="L39" s="15">
        <f>+SUM(F39:K39)</f>
        <v>1120464.1666666667</v>
      </c>
    </row>
    <row r="40" spans="1:14" x14ac:dyDescent="0.3">
      <c r="A40" s="13">
        <v>3</v>
      </c>
      <c r="B40" s="11" t="s">
        <v>20</v>
      </c>
      <c r="C40" s="11" t="s">
        <v>21</v>
      </c>
      <c r="D40" s="15">
        <v>1750905</v>
      </c>
      <c r="E40" s="11">
        <v>15</v>
      </c>
      <c r="F40" s="15">
        <f t="shared" ref="F40:F42" si="1">+(D40/30)*E40</f>
        <v>875452.5</v>
      </c>
      <c r="G40" s="15">
        <f t="shared" si="0"/>
        <v>124547.49999999999</v>
      </c>
      <c r="H40" s="15">
        <v>0</v>
      </c>
      <c r="I40" s="15">
        <v>0</v>
      </c>
      <c r="J40" s="15">
        <v>420000</v>
      </c>
      <c r="K40" s="15">
        <v>0</v>
      </c>
      <c r="L40" s="15">
        <f>+SUM(F40:K40)</f>
        <v>1420000</v>
      </c>
    </row>
    <row r="41" spans="1:14" x14ac:dyDescent="0.3">
      <c r="A41" s="13">
        <v>4</v>
      </c>
      <c r="B41" s="11" t="s">
        <v>23</v>
      </c>
      <c r="C41" s="11" t="s">
        <v>24</v>
      </c>
      <c r="D41" s="15">
        <v>3600000</v>
      </c>
      <c r="E41" s="11">
        <v>14</v>
      </c>
      <c r="F41" s="15">
        <f>+(D41/30)*E41</f>
        <v>1680000</v>
      </c>
      <c r="G41" s="15">
        <v>0</v>
      </c>
      <c r="H41" s="15">
        <f>+C26</f>
        <v>107142.85714285713</v>
      </c>
      <c r="I41" s="15">
        <v>0</v>
      </c>
      <c r="J41" s="15">
        <v>0</v>
      </c>
      <c r="K41" s="15">
        <v>0</v>
      </c>
      <c r="L41" s="15">
        <f>+SUM(F41:K41)</f>
        <v>1787142.857142857</v>
      </c>
    </row>
    <row r="42" spans="1:14" x14ac:dyDescent="0.3">
      <c r="A42" s="13">
        <v>5</v>
      </c>
      <c r="B42" s="11" t="s">
        <v>27</v>
      </c>
      <c r="C42" s="11" t="s">
        <v>28</v>
      </c>
      <c r="D42" s="15">
        <v>2100000</v>
      </c>
      <c r="E42" s="11">
        <v>11</v>
      </c>
      <c r="F42" s="15">
        <f t="shared" si="1"/>
        <v>770000</v>
      </c>
      <c r="G42" s="15">
        <f t="shared" si="0"/>
        <v>91334.833333333328</v>
      </c>
      <c r="H42" s="15">
        <f>+C32+C31</f>
        <v>135000</v>
      </c>
      <c r="I42" s="15">
        <v>0</v>
      </c>
      <c r="J42" s="15">
        <v>0</v>
      </c>
      <c r="K42" s="15">
        <v>0</v>
      </c>
      <c r="L42" s="15">
        <f>+SUM(F42:K42)</f>
        <v>996334.83333333337</v>
      </c>
    </row>
    <row r="43" spans="1:14" x14ac:dyDescent="0.3">
      <c r="A43" s="12" t="s">
        <v>61</v>
      </c>
      <c r="B43" s="12"/>
      <c r="C43" s="12"/>
      <c r="D43" s="16">
        <f>+SUM(D38:D42)</f>
        <v>11051810</v>
      </c>
      <c r="E43" s="16"/>
      <c r="F43" s="16">
        <f t="shared" ref="F43:G43" si="2">+SUM(F38:F42)</f>
        <v>5125905</v>
      </c>
      <c r="G43" s="16">
        <f t="shared" si="2"/>
        <v>464977.33333333326</v>
      </c>
      <c r="H43" s="16">
        <f>+SUM(H38:H42)</f>
        <v>330081.07142857142</v>
      </c>
      <c r="I43" s="16">
        <f>+SUM(I38:I42)</f>
        <v>69689.938095238089</v>
      </c>
      <c r="J43" s="16">
        <f>+SUM(J38:J42)</f>
        <v>420000</v>
      </c>
      <c r="K43" s="16">
        <f>+SUM(K38:K42)</f>
        <v>0</v>
      </c>
      <c r="L43" s="16">
        <f>+SUM(L38:L42)</f>
        <v>6410653.3428571429</v>
      </c>
    </row>
    <row r="44" spans="1:14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4" x14ac:dyDescent="0.3">
      <c r="A45" s="13" t="s">
        <v>40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3">
      <c r="A47" s="13" t="s">
        <v>2</v>
      </c>
      <c r="B47" s="13" t="s">
        <v>30</v>
      </c>
      <c r="C47" s="13" t="s">
        <v>31</v>
      </c>
      <c r="D47" s="13" t="s">
        <v>62</v>
      </c>
      <c r="E47" s="13" t="s">
        <v>63</v>
      </c>
      <c r="F47" s="13" t="s">
        <v>64</v>
      </c>
      <c r="G47" s="13" t="s">
        <v>67</v>
      </c>
      <c r="H47" s="13" t="s">
        <v>68</v>
      </c>
      <c r="I47" s="13" t="s">
        <v>69</v>
      </c>
      <c r="J47" s="13" t="s">
        <v>65</v>
      </c>
      <c r="K47" s="13" t="s">
        <v>71</v>
      </c>
      <c r="L47" s="13" t="s">
        <v>66</v>
      </c>
      <c r="M47" s="13"/>
      <c r="N47" s="13"/>
    </row>
    <row r="48" spans="1:14" x14ac:dyDescent="0.3">
      <c r="A48" s="13">
        <v>1</v>
      </c>
      <c r="B48" s="11" t="s">
        <v>0</v>
      </c>
      <c r="C48" s="11" t="s">
        <v>5</v>
      </c>
      <c r="D48" s="16">
        <f>+(L38-G38)</f>
        <v>962163.98571428563</v>
      </c>
      <c r="E48" s="16">
        <f>+D48*4%</f>
        <v>38486.559428571425</v>
      </c>
      <c r="F48" s="16">
        <f>+D48*4%</f>
        <v>38486.559428571425</v>
      </c>
      <c r="G48" s="16">
        <v>35000</v>
      </c>
      <c r="H48" s="16">
        <v>0</v>
      </c>
      <c r="I48" s="16">
        <v>0</v>
      </c>
      <c r="J48" s="16">
        <f>120000/3</f>
        <v>40000</v>
      </c>
      <c r="K48" s="16">
        <f>+SUM(E48:J48)</f>
        <v>151973.11885714286</v>
      </c>
      <c r="L48" s="16">
        <f>+L38-K48</f>
        <v>934738.36685714277</v>
      </c>
      <c r="M48" s="16"/>
      <c r="N48" s="11"/>
    </row>
    <row r="49" spans="1:14" x14ac:dyDescent="0.3">
      <c r="A49" s="13">
        <v>2</v>
      </c>
      <c r="B49" s="11" t="s">
        <v>14</v>
      </c>
      <c r="C49" s="11" t="s">
        <v>15</v>
      </c>
      <c r="D49" s="16">
        <f>+(L39-G39)</f>
        <v>995916.66666666674</v>
      </c>
      <c r="E49" s="16">
        <f t="shared" ref="E49:E51" si="3">+D49*4%</f>
        <v>39836.666666666672</v>
      </c>
      <c r="F49" s="16">
        <f t="shared" ref="F49:F52" si="4">+D49*4%</f>
        <v>39836.666666666672</v>
      </c>
      <c r="G49" s="16">
        <v>0</v>
      </c>
      <c r="H49" s="16">
        <v>0</v>
      </c>
      <c r="I49" s="16">
        <v>150000</v>
      </c>
      <c r="J49" s="16">
        <v>0</v>
      </c>
      <c r="K49" s="16">
        <f t="shared" ref="K49:K52" si="5">+SUM(E49:J49)</f>
        <v>229673.33333333334</v>
      </c>
      <c r="L49" s="16">
        <f t="shared" ref="L49:L52" si="6">+L39-K49</f>
        <v>890790.83333333337</v>
      </c>
      <c r="M49" s="16"/>
      <c r="N49" s="11"/>
    </row>
    <row r="50" spans="1:14" x14ac:dyDescent="0.3">
      <c r="A50" s="13">
        <v>3</v>
      </c>
      <c r="B50" s="11" t="s">
        <v>20</v>
      </c>
      <c r="C50" s="11" t="s">
        <v>21</v>
      </c>
      <c r="D50" s="16">
        <f>+(L40-G40)</f>
        <v>1295452.5</v>
      </c>
      <c r="E50" s="16">
        <f t="shared" si="3"/>
        <v>51818.1</v>
      </c>
      <c r="F50" s="16">
        <f t="shared" si="4"/>
        <v>51818.1</v>
      </c>
      <c r="G50" s="16">
        <v>0</v>
      </c>
      <c r="H50" s="16">
        <v>0</v>
      </c>
      <c r="J50" s="16">
        <v>0</v>
      </c>
      <c r="K50" s="16">
        <f t="shared" si="5"/>
        <v>103636.2</v>
      </c>
      <c r="L50" s="16">
        <f t="shared" si="6"/>
        <v>1316363.8</v>
      </c>
      <c r="M50" s="16"/>
      <c r="N50" s="11"/>
    </row>
    <row r="51" spans="1:14" x14ac:dyDescent="0.3">
      <c r="A51" s="13">
        <v>4</v>
      </c>
      <c r="B51" s="11" t="s">
        <v>23</v>
      </c>
      <c r="C51" s="11" t="s">
        <v>24</v>
      </c>
      <c r="D51" s="16">
        <f>+(L41-G41)</f>
        <v>1787142.857142857</v>
      </c>
      <c r="E51" s="16">
        <f t="shared" si="3"/>
        <v>71485.71428571429</v>
      </c>
      <c r="F51" s="16">
        <f t="shared" si="4"/>
        <v>71485.71428571429</v>
      </c>
      <c r="G51" s="16">
        <v>0</v>
      </c>
      <c r="H51" s="16">
        <v>0</v>
      </c>
      <c r="I51" s="16">
        <f>2100000/3</f>
        <v>700000</v>
      </c>
      <c r="J51" s="16">
        <v>250000</v>
      </c>
      <c r="K51" s="16">
        <f>+SUM(E51:J51)</f>
        <v>1092971.4285714286</v>
      </c>
      <c r="L51" s="16">
        <f t="shared" si="6"/>
        <v>694171.42857142841</v>
      </c>
      <c r="M51" s="16"/>
      <c r="N51" s="11"/>
    </row>
    <row r="52" spans="1:14" x14ac:dyDescent="0.3">
      <c r="A52" s="13">
        <v>5</v>
      </c>
      <c r="B52" s="11" t="s">
        <v>27</v>
      </c>
      <c r="C52" s="11" t="s">
        <v>28</v>
      </c>
      <c r="D52" s="16">
        <f>+(L42-G42)</f>
        <v>905000</v>
      </c>
      <c r="E52" s="16">
        <f>+D52*4%</f>
        <v>36200</v>
      </c>
      <c r="F52" s="16">
        <f t="shared" si="4"/>
        <v>36200</v>
      </c>
      <c r="G52" s="16">
        <v>0</v>
      </c>
      <c r="H52" s="16">
        <f>+L42*40%</f>
        <v>398533.93333333335</v>
      </c>
      <c r="I52" s="16"/>
      <c r="J52" s="16">
        <v>0</v>
      </c>
      <c r="K52" s="16">
        <f t="shared" si="5"/>
        <v>470933.93333333335</v>
      </c>
      <c r="L52" s="16">
        <f t="shared" si="6"/>
        <v>525400.9</v>
      </c>
      <c r="M52" s="16"/>
      <c r="N52" s="11"/>
    </row>
    <row r="53" spans="1:14" x14ac:dyDescent="0.3">
      <c r="A53" s="12" t="s">
        <v>61</v>
      </c>
      <c r="B53" s="12"/>
      <c r="C53" s="12"/>
      <c r="D53" s="16">
        <f>+SUM(D48:D52)</f>
        <v>5945676.0095238099</v>
      </c>
      <c r="E53" s="16">
        <f>+SUM(E48:E52)</f>
        <v>237827.04038095239</v>
      </c>
      <c r="F53" s="16">
        <f t="shared" ref="F53" si="7">+SUM(F48:F52)</f>
        <v>237827.04038095239</v>
      </c>
      <c r="G53" s="16">
        <f t="shared" ref="G53" si="8">+SUM(G48:G52)</f>
        <v>35000</v>
      </c>
      <c r="H53" s="16">
        <f>+SUM(H48:H52)</f>
        <v>398533.93333333335</v>
      </c>
      <c r="I53" s="16">
        <f>+SUM(I48:I52)</f>
        <v>850000</v>
      </c>
      <c r="J53" s="16">
        <f>+SUM(J48:J52)</f>
        <v>290000</v>
      </c>
      <c r="K53" s="16">
        <f>+SUM(K48:K52)</f>
        <v>2049188.0140952382</v>
      </c>
      <c r="L53" s="16">
        <f>+SUM(L48:L52)</f>
        <v>4361465.3287619045</v>
      </c>
      <c r="M53" s="16"/>
      <c r="N53" s="11"/>
    </row>
    <row r="54" spans="1:14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</sheetData>
  <mergeCells count="2">
    <mergeCell ref="A43:C43"/>
    <mergeCell ref="A53:C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EACF-ED4B-49CB-B5E0-EBD709464F96}">
  <dimension ref="A1:C8"/>
  <sheetViews>
    <sheetView workbookViewId="0">
      <selection activeCell="A13" sqref="A13"/>
    </sheetView>
  </sheetViews>
  <sheetFormatPr baseColWidth="10" defaultRowHeight="14.4" x14ac:dyDescent="0.3"/>
  <cols>
    <col min="1" max="1" width="17.5546875" customWidth="1"/>
    <col min="3" max="3" width="17" customWidth="1"/>
  </cols>
  <sheetData>
    <row r="1" spans="1:3" ht="15" thickBot="1" x14ac:dyDescent="0.35">
      <c r="A1" s="3" t="s">
        <v>41</v>
      </c>
      <c r="B1" s="4" t="s">
        <v>42</v>
      </c>
      <c r="C1" s="4" t="s">
        <v>43</v>
      </c>
    </row>
    <row r="2" spans="1:3" ht="21" thickBot="1" x14ac:dyDescent="0.35">
      <c r="A2" s="5" t="s">
        <v>44</v>
      </c>
      <c r="B2" s="6" t="s">
        <v>45</v>
      </c>
      <c r="C2" s="6">
        <v>1.25</v>
      </c>
    </row>
    <row r="3" spans="1:3" ht="21" thickBot="1" x14ac:dyDescent="0.35">
      <c r="A3" s="7" t="s">
        <v>46</v>
      </c>
      <c r="B3" s="8" t="s">
        <v>47</v>
      </c>
      <c r="C3" s="8">
        <v>1.75</v>
      </c>
    </row>
    <row r="4" spans="1:3" ht="15" thickBot="1" x14ac:dyDescent="0.35">
      <c r="A4" s="5" t="s">
        <v>48</v>
      </c>
      <c r="B4" s="6" t="s">
        <v>49</v>
      </c>
      <c r="C4" s="6">
        <v>0.35</v>
      </c>
    </row>
    <row r="5" spans="1:3" ht="31.2" thickBot="1" x14ac:dyDescent="0.35">
      <c r="A5" s="7" t="s">
        <v>50</v>
      </c>
      <c r="B5" s="8" t="s">
        <v>51</v>
      </c>
      <c r="C5" s="8" t="s">
        <v>52</v>
      </c>
    </row>
    <row r="6" spans="1:3" ht="41.4" thickBot="1" x14ac:dyDescent="0.35">
      <c r="A6" s="9" t="s">
        <v>53</v>
      </c>
      <c r="B6" s="10" t="s">
        <v>54</v>
      </c>
      <c r="C6" s="10">
        <v>2.15</v>
      </c>
    </row>
    <row r="7" spans="1:3" ht="41.4" thickBot="1" x14ac:dyDescent="0.35">
      <c r="A7" s="7" t="s">
        <v>55</v>
      </c>
      <c r="B7" s="8" t="s">
        <v>56</v>
      </c>
      <c r="C7" s="8">
        <v>2.65</v>
      </c>
    </row>
    <row r="8" spans="1:3" ht="31.2" thickBot="1" x14ac:dyDescent="0.35">
      <c r="A8" s="9" t="s">
        <v>57</v>
      </c>
      <c r="B8" s="10" t="s">
        <v>58</v>
      </c>
      <c r="C8" s="1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DE JESUS  MUNOZ ACUNA</dc:creator>
  <cp:lastModifiedBy>BRAYAN DE JESUS  MUNOZ ACUNA</cp:lastModifiedBy>
  <dcterms:created xsi:type="dcterms:W3CDTF">2026-08-05T23:29:38Z</dcterms:created>
  <dcterms:modified xsi:type="dcterms:W3CDTF">2026-08-06T01:33:59Z</dcterms:modified>
</cp:coreProperties>
</file>